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ellLatitude5490\Downloads\"/>
    </mc:Choice>
  </mc:AlternateContent>
  <xr:revisionPtr revIDLastSave="0" documentId="13_ncr:1_{29DA58C8-AE25-447A-8589-29A6CF9880F1}" xr6:coauthVersionLast="47" xr6:coauthVersionMax="47" xr10:uidLastSave="{00000000-0000-0000-0000-000000000000}"/>
  <bookViews>
    <workbookView xWindow="-110" yWindow="-110" windowWidth="19420" windowHeight="10300" activeTab="2" xr2:uid="{00000000-000D-0000-FFFF-FFFF00000000}"/>
  </bookViews>
  <sheets>
    <sheet name="Dog Breed" sheetId="1" r:id="rId1"/>
    <sheet name="summary " sheetId="3" r:id="rId2"/>
    <sheet name="task 2" sheetId="4" r:id="rId3"/>
    <sheet name="Cat Breed" sheetId="2" r:id="rId4"/>
  </sheets>
  <externalReferences>
    <externalReference r:id="rId5"/>
    <externalReference r:id="rId6"/>
  </externalReferences>
  <definedNames>
    <definedName name="_xlnm._FilterDatabase" localSheetId="0" hidden="1">'Dog Breed'!$A$1:$O$251</definedName>
    <definedName name="Slicer_Group1">#N/A</definedName>
    <definedName name="Slicer_LapCat">#N/A</definedName>
    <definedName name="Slicer_MalaysiaPopularity">#N/A</definedName>
    <definedName name="Slicer_MaleWtKg">#N/A</definedName>
    <definedName name="Slicer_PopularityUS2017">#N/A</definedName>
  </definedNames>
  <calcPr calcId="191029"/>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1" l="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3" i="1"/>
  <c r="P4" i="1"/>
  <c r="P5" i="1"/>
  <c r="P6" i="1"/>
  <c r="P7" i="1"/>
  <c r="P8" i="1"/>
  <c r="P2" i="1"/>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B16" i="3"/>
  <c r="B15" i="3"/>
  <c r="B9" i="3"/>
  <c r="B10" i="3"/>
  <c r="B11" i="3"/>
  <c r="B12" i="3"/>
  <c r="B13" i="3"/>
  <c r="B14" i="3"/>
  <c r="B6" i="3"/>
  <c r="B5" i="3"/>
  <c r="B4" i="3"/>
  <c r="B3" i="3"/>
  <c r="A83" i="3"/>
  <c r="A82" i="3"/>
  <c r="A79" i="3"/>
  <c r="A78" i="3"/>
  <c r="A75" i="3"/>
  <c r="A74" i="3"/>
  <c r="A68" i="3" a="1"/>
  <c r="A68" i="3" s="1"/>
  <c r="A67" i="3" l="1" a="1"/>
  <c r="A67" i="3" s="1"/>
  <c r="A55" i="3" a="1"/>
  <c r="A55" i="3" s="1"/>
  <c r="N56" i="3" l="1"/>
  <c r="N57" i="3"/>
  <c r="N63" i="3"/>
  <c r="N62" i="3"/>
  <c r="N61" i="3"/>
  <c r="N60" i="3"/>
  <c r="N59" i="3"/>
  <c r="N64" i="3"/>
  <c r="N58" i="3"/>
  <c r="A43" i="3" a="1"/>
  <c r="A43" i="3" s="1"/>
  <c r="A31" i="3" a="1"/>
  <c r="A19" i="3" a="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 i="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2" i="2"/>
  <c r="A31" i="3" l="1"/>
  <c r="J39" i="3"/>
  <c r="J40" i="3"/>
  <c r="J33" i="3"/>
  <c r="J32" i="3"/>
  <c r="J34" i="3"/>
  <c r="J36" i="3"/>
  <c r="J35" i="3"/>
  <c r="J38" i="3"/>
  <c r="J37" i="3"/>
  <c r="A19" i="3"/>
  <c r="J20" i="3"/>
  <c r="J23" i="3"/>
  <c r="J22" i="3"/>
  <c r="J21" i="3"/>
  <c r="J25" i="3"/>
  <c r="J28" i="3"/>
  <c r="J19" i="3"/>
  <c r="J24" i="3"/>
  <c r="J26" i="3"/>
  <c r="J27" i="3"/>
  <c r="N44" i="3"/>
  <c r="N45" i="3"/>
  <c r="N43" i="3"/>
  <c r="N46" i="3"/>
  <c r="N47" i="3"/>
  <c r="N48" i="3"/>
  <c r="N51" i="3"/>
  <c r="N52" i="3"/>
  <c r="N49" i="3"/>
  <c r="N50"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<sst xmlns="http://schemas.openxmlformats.org/spreadsheetml/2006/main" count="1388" uniqueCount="700">
  <si>
    <t>BreedName</t>
  </si>
  <si>
    <t>AltBreedName</t>
  </si>
  <si>
    <t>Group1</t>
  </si>
  <si>
    <t>Group2</t>
  </si>
  <si>
    <t>MaleWtKg</t>
  </si>
  <si>
    <t>Temperment</t>
  </si>
  <si>
    <t>AvgPupPrice</t>
  </si>
  <si>
    <t>Intelligence</t>
  </si>
  <si>
    <t>Watchdog</t>
  </si>
  <si>
    <t>MalaysiaGuardedDog</t>
  </si>
  <si>
    <t>MalaysiaProhibitedDog</t>
  </si>
  <si>
    <t>MalaysiaPopularity</t>
  </si>
  <si>
    <t>PopularityUS2017</t>
  </si>
  <si>
    <t>Qty Sold</t>
  </si>
  <si>
    <t>Affenpinscher</t>
  </si>
  <si>
    <t>Toy</t>
  </si>
  <si>
    <t>Companion</t>
  </si>
  <si>
    <t>Active, Adventurous, Curious, Fun-loving, Playful, Stubborn</t>
  </si>
  <si>
    <t>Afghan Hound</t>
  </si>
  <si>
    <t>Sporting</t>
  </si>
  <si>
    <t>Sight</t>
  </si>
  <si>
    <t>Aloof, Clownish, Dignified, Happy, Independent</t>
  </si>
  <si>
    <t>African Hunting Dog</t>
  </si>
  <si>
    <t>Wild</t>
  </si>
  <si>
    <t>Airedale Terrier</t>
  </si>
  <si>
    <t>Airedale</t>
  </si>
  <si>
    <t>Terrier</t>
  </si>
  <si>
    <t>Alert, Confident, Courageous, Friendly, Intelligent, Outgoing</t>
  </si>
  <si>
    <t>Akbash</t>
  </si>
  <si>
    <t>Working</t>
  </si>
  <si>
    <t>Guardian</t>
  </si>
  <si>
    <t>Affectionate, Alert, Courageous, Independent, Intelligent, Loyal</t>
  </si>
  <si>
    <t>Akita</t>
  </si>
  <si>
    <t>Herding</t>
  </si>
  <si>
    <t>Alert, Courageous, Dignified, Docile, Friendly, Intelligent, Responsive</t>
  </si>
  <si>
    <t>Alaskan Malamute</t>
  </si>
  <si>
    <t>Malamute</t>
  </si>
  <si>
    <t>Northern</t>
  </si>
  <si>
    <t>Affectionate, Devoted, Dignified, Friendly, Loyal, Playful</t>
  </si>
  <si>
    <t>American Bulldog</t>
  </si>
  <si>
    <t>Affectionate, Alert, Courageous, Energetic, Gentle, Loving, Out-going, Social</t>
  </si>
  <si>
    <t>American Eskimo Dog</t>
  </si>
  <si>
    <t>Non Sporting</t>
  </si>
  <si>
    <t>Alert, Energetic, Friendly, Independent, Intelligent, Protective</t>
  </si>
  <si>
    <t>American Hairless Terrier</t>
  </si>
  <si>
    <t>Alert, Lively, Loving, Intelligent, Inquisitive, Playful</t>
  </si>
  <si>
    <t>American Staffordshire Terrier</t>
  </si>
  <si>
    <t>Attentive, Courageous, Devoted, Friendly, Loyal, Tenacious, Intelligent</t>
  </si>
  <si>
    <t>American Water Spaniel</t>
  </si>
  <si>
    <t>Gun</t>
  </si>
  <si>
    <t>Energetic, Friendly, Intelligent, Obedient, Protective, Trainable</t>
  </si>
  <si>
    <t>Anatolian Shepherd</t>
  </si>
  <si>
    <t>Bold, Confident, Independent, Intelligent, Proud, Steady</t>
  </si>
  <si>
    <t>Appenzell Mountain Dog</t>
  </si>
  <si>
    <t>Appenzeller</t>
  </si>
  <si>
    <t>Energetic, Fearless, Lively, Reliable, Self-assured, Social</t>
  </si>
  <si>
    <t>Australian Cattle Dog/Blue Heeler</t>
  </si>
  <si>
    <t>Aggressive, Alert, Energetic, Intelligent, Loyal, Protective, Responsive</t>
  </si>
  <si>
    <t>Australian Kelpie</t>
  </si>
  <si>
    <t>Kelpie</t>
  </si>
  <si>
    <t>Alert, Eager, Energetic, Friendly, Intelligent, Loyal, Robust</t>
  </si>
  <si>
    <t>Australian Shepherd</t>
  </si>
  <si>
    <t>Active, Affectionate, Friendly, Good-natured, Intelligent, Protective, Loving</t>
  </si>
  <si>
    <t>Australian Terrier</t>
  </si>
  <si>
    <t>Alert, Compassionate, Courageous, Even Tempered, Loyal, Spirited, Intelligent</t>
  </si>
  <si>
    <t>Basenji</t>
  </si>
  <si>
    <t>Hound</t>
  </si>
  <si>
    <t>Affectionate, Alert, Curious, Energetic, Playful, Intelligent</t>
  </si>
  <si>
    <t>Basset Hound</t>
  </si>
  <si>
    <t>Basset</t>
  </si>
  <si>
    <t>Scenthound</t>
  </si>
  <si>
    <t>Affectionate, Devoted, Friendly, Gentle, Sweet-tempered, Tenacious</t>
  </si>
  <si>
    <t>Beagle</t>
  </si>
  <si>
    <t>Friendly, Gentle, Independent, Intelligent, Lively, Loving, Sweet</t>
  </si>
  <si>
    <t>Bearded Collie</t>
  </si>
  <si>
    <t>Active, Alert, Hardy, Intelligent, Lively, Self-confident</t>
  </si>
  <si>
    <t>Beauceron</t>
  </si>
  <si>
    <t>Courageous, Obedient, Loyal, Protective, Loving</t>
  </si>
  <si>
    <t>Bedlington Terrier</t>
  </si>
  <si>
    <t>Affectionate, Devoted, Energetic, Loyal, Playful, Reliable, Intelligent</t>
  </si>
  <si>
    <t>Belgian Shepherd Dog Sheepdog</t>
  </si>
  <si>
    <t>Groenendael</t>
  </si>
  <si>
    <t>Active, Alert, Confident, Friendly, Hard-working, Protective, Stubborn, Watchful, Intelligent</t>
  </si>
  <si>
    <t>Belgian Shepherd Laekenois</t>
  </si>
  <si>
    <t>Active, Alert, Energetic, Lively, Protective, Watchful</t>
  </si>
  <si>
    <t>Belgian Shepherd Malinois</t>
  </si>
  <si>
    <t>Malinois</t>
  </si>
  <si>
    <t>Active, Alert, Confident, Friendly, Hard-working, Protective, Stubborn, Watchful</t>
  </si>
  <si>
    <t>Belgian Shepherd Tervuren</t>
  </si>
  <si>
    <t>Alert, Attentive, Energetic, Intelligent, Loyal, Protective</t>
  </si>
  <si>
    <t>Bernese Mountain Dog</t>
  </si>
  <si>
    <t>Affectionate, Faithful, Intelligent, Loyal</t>
  </si>
  <si>
    <t>Bichon Frise</t>
  </si>
  <si>
    <t>Affectionate, Cheerful, Feisty, Gentle, Playful, Intelligent, Sensitive</t>
  </si>
  <si>
    <t>Black and Tan Coonhound</t>
  </si>
  <si>
    <t>Adaptable, Easygoing, Even-tempered, Gentle, Lovable, Trusting, Intelligent</t>
  </si>
  <si>
    <t>Black Labrador Retriever</t>
  </si>
  <si>
    <t>Affectionate, Alert, Cheerful, Energetic, Friendly, Gentle, Intelligent, Loving, Loyal, Outgoing, Playful, Responsive, Social</t>
  </si>
  <si>
    <t>Black Mouth Cur</t>
  </si>
  <si>
    <t>Active, Fearless, Kind, Loyal, Protective, Trainable</t>
  </si>
  <si>
    <t>Black Russian Terrier</t>
  </si>
  <si>
    <t>Brave, Confident, Energetic, Hardy, Lively, Stable</t>
  </si>
  <si>
    <t>Bloodhound</t>
  </si>
  <si>
    <t>Affectionate, Even-tempered, Gentle, Stubborn, Independent</t>
  </si>
  <si>
    <t>Blue Lacy</t>
  </si>
  <si>
    <t>Active, Alert, Bold, Devoted, Intelligent, Intense</t>
  </si>
  <si>
    <t>Bluetick Coonhound</t>
  </si>
  <si>
    <t>Bluetick</t>
  </si>
  <si>
    <t>Friendly, Active, Gentle</t>
  </si>
  <si>
    <t>Boerboel</t>
  </si>
  <si>
    <t>Confident, Dominant, Intelligent, Obedient, Territorial</t>
  </si>
  <si>
    <t>Bolognese</t>
  </si>
  <si>
    <t>Docile, Enterprising, Loyal, Reserved, Serious</t>
  </si>
  <si>
    <t>Border Collie</t>
  </si>
  <si>
    <t>Intelligent, Energetic, Alert, Responsive, Tenacious, Loyal, Protective</t>
  </si>
  <si>
    <t>Border Terrier</t>
  </si>
  <si>
    <t>Affectionate, Alert, Even-tempered, Fearless, Intelligent, Obedient</t>
  </si>
  <si>
    <t>Borzoi</t>
  </si>
  <si>
    <t>Athletic, Gentle, Independent, Intelligent, Quiet, Respectful</t>
  </si>
  <si>
    <t>Boston Terrier</t>
  </si>
  <si>
    <t>Boston Bull</t>
  </si>
  <si>
    <t>Affectionate, Aggressive, Friendly, Gentle, Intelligent, Lively, Playful</t>
  </si>
  <si>
    <t>Bouvier des Flanders</t>
  </si>
  <si>
    <t>Familial, Gentle, Intelligent, Loyal, Protective, Rational</t>
  </si>
  <si>
    <t>Boxer</t>
  </si>
  <si>
    <t>Brave, Bright, Confident, Energetic, Fearless, Friendly, Intelligent, Loyal, Playful</t>
  </si>
  <si>
    <t>Boykin Spaniel</t>
  </si>
  <si>
    <t>Companionable, Eager, Energetic, Friendly, Intelligent, Trainable</t>
  </si>
  <si>
    <t>Briard</t>
  </si>
  <si>
    <t>Faithful, Fearless, Intelligent, Loyal, Obedient, Protective</t>
  </si>
  <si>
    <t>Brittany Spaniel</t>
  </si>
  <si>
    <t>Alert, Independent, Intelligent, Responsive, Social</t>
  </si>
  <si>
    <t>Brussels Griffon</t>
  </si>
  <si>
    <t>Brabancon Griffon</t>
  </si>
  <si>
    <t>Alert, Companionable, Inquisitive, Self-important, Sensitive, Watchful</t>
  </si>
  <si>
    <t>Bull Terrier</t>
  </si>
  <si>
    <t>American Pit Bull Terrier</t>
  </si>
  <si>
    <t>Active, Keen, Protective, Sweet-tempered, Trainable</t>
  </si>
  <si>
    <t>Bullmastiff</t>
  </si>
  <si>
    <t>Bull Mastiff</t>
  </si>
  <si>
    <t>Alert, Calm, Courageous, Devoted, Docile, Powerful, Loyal, Protective, Reliable</t>
  </si>
  <si>
    <t>Cairn Terrier</t>
  </si>
  <si>
    <t>Cairn</t>
  </si>
  <si>
    <t>Active, Assertive, Courageous, Fearless, Hardy, Intelligent</t>
  </si>
  <si>
    <t>Canaan Dog</t>
  </si>
  <si>
    <t>Alert, Cautious, Devoted, Quick, Vigilant</t>
  </si>
  <si>
    <t>Cane Corso Mastiff</t>
  </si>
  <si>
    <t>Cheerful, Courageous, Loyal, Quiet, Social</t>
  </si>
  <si>
    <t>Carolina Dog</t>
  </si>
  <si>
    <t>Adaptable, Gentle, Loyal, Primitive, Reserved</t>
  </si>
  <si>
    <t>Catahoula Leopard Dog</t>
  </si>
  <si>
    <t>Alert, Courageous, Energetic, Gentle, Independent, Intelligent, Loving, Loyal, Protective</t>
  </si>
  <si>
    <t>Cattle Dog</t>
  </si>
  <si>
    <t>Caucasian Sheepdog (Caucasian Ovtcharka)</t>
  </si>
  <si>
    <t>Alert, Calm, Dominant, Powerful, Quick,Strong</t>
  </si>
  <si>
    <t>Cavalier King Charles Spaniel</t>
  </si>
  <si>
    <t>Affectionate, Cheerful, Courageous, Gentle, Intelligent, Social</t>
  </si>
  <si>
    <t>Chesapeake Bay Retriever</t>
  </si>
  <si>
    <t>Happy, Affectionate, Dominant, Intelligent, Protective, Quiet</t>
  </si>
  <si>
    <t>Chihuahua</t>
  </si>
  <si>
    <t>Alert, Courageous, Devoted, Lively, Intelligent, Quick</t>
  </si>
  <si>
    <t>Chinese Crested Dog</t>
  </si>
  <si>
    <t>Affectionate, Alert, Happy, Lively, Playful, Sweet-tempered</t>
  </si>
  <si>
    <t>Chinese Foo Dog</t>
  </si>
  <si>
    <t>Friendly, Devoted, Courageous</t>
  </si>
  <si>
    <t>Chinook</t>
  </si>
  <si>
    <t>Alert, Calm, Dignified, Friendly, Responsive</t>
  </si>
  <si>
    <t>Chocolate Labrador Retriever</t>
  </si>
  <si>
    <t>Chow Chow</t>
  </si>
  <si>
    <t>Chow</t>
  </si>
  <si>
    <t>Aloof, Independent, Loyal, Quiet, Intelligent, Protective, Detached</t>
  </si>
  <si>
    <t>Cirneco dell'Etna</t>
  </si>
  <si>
    <t>Affectionate, Gentle, Lively</t>
  </si>
  <si>
    <t>Clumber Spaniel</t>
  </si>
  <si>
    <t>Clumber</t>
  </si>
  <si>
    <t>Gentle, Loyal, Affectionate, Dignified, Aloof</t>
  </si>
  <si>
    <t>Cockapoo</t>
  </si>
  <si>
    <t>Affectionate, Alert, Cheerful, Friendly, Intelligent, Loving, Loyal, Outgoing, Playful, Responsive, Social</t>
  </si>
  <si>
    <t>Cocker Spaniel</t>
  </si>
  <si>
    <t>Even Tempered, Joyful, Merry, Outgoing, Intelligent, Sociable, Trusting</t>
  </si>
  <si>
    <t>Collie</t>
  </si>
  <si>
    <t>Friendly, Gentle, Intelligent, Loyal, Protective, Responsive, Social</t>
  </si>
  <si>
    <t>Coonhound</t>
  </si>
  <si>
    <t>Corgi</t>
  </si>
  <si>
    <t>Active, Affectionate, Alert, Companionable, Devoted, Gentle, Intelligent</t>
  </si>
  <si>
    <t>Coton de Tulear</t>
  </si>
  <si>
    <t>Affectionate, Intelligent, Lively, Playful, Trainable, Vocal</t>
  </si>
  <si>
    <t>Curly-Coated Retriever</t>
  </si>
  <si>
    <t>Clever, Independent, Intelligent, Lively, Sensitive, Trainable</t>
  </si>
  <si>
    <t>Dachshund</t>
  </si>
  <si>
    <t>Clever, Courageous, Devoted, Lively, Playful, Stubborn</t>
  </si>
  <si>
    <t>Dalmatian</t>
  </si>
  <si>
    <t>Active, Energetic, Friendly, Intelligent, Outgoing, Playful, Sensitive</t>
  </si>
  <si>
    <t>Dandi Dinmont Terrier</t>
  </si>
  <si>
    <t>Dandie Dinmont</t>
  </si>
  <si>
    <t>Affectionate, Companionable, Determined, Fun-loving, Independent, Lively, Intelligent</t>
  </si>
  <si>
    <t>Dhole</t>
  </si>
  <si>
    <t>Dingo</t>
  </si>
  <si>
    <t>Doberman Pinscher</t>
  </si>
  <si>
    <t>Doberman</t>
  </si>
  <si>
    <t>Alert, Energetic, Fearless, Intelligent, Loyal, Obedient</t>
  </si>
  <si>
    <t>Dogo Argentino</t>
  </si>
  <si>
    <t>Affectionate, Cheerful, Friendly, Loyal, Protective, Tolerant, Social</t>
  </si>
  <si>
    <t>Dogue de Bordeaux</t>
  </si>
  <si>
    <t>Companionable, Courageous, Devoted, Even-tempered, Loyal, Vigiliant</t>
  </si>
  <si>
    <t>Dutch Shepherd</t>
  </si>
  <si>
    <t>Affectionate, Alert, Loyal, Obedient, Reliable, Trainable</t>
  </si>
  <si>
    <t>English Bulldog</t>
  </si>
  <si>
    <t>Aggressive, Courageous, Friendly, Loving, Social, Sweet</t>
  </si>
  <si>
    <t>English Cocker Spaniel</t>
  </si>
  <si>
    <t>Affectionate, Faithful, Friendly, Intelligent, Playful, Quiet, Trainable</t>
  </si>
  <si>
    <t>English Coonhound</t>
  </si>
  <si>
    <t>Active, Energetic, High-strung, Loyal</t>
  </si>
  <si>
    <t>English Pointer</t>
  </si>
  <si>
    <t>Active, Affectionate, Amiable, Even-tempered, Kind, Loyal, Intelligent</t>
  </si>
  <si>
    <t>English Setter</t>
  </si>
  <si>
    <t>Strong-willed, Mischevious, Gentle, Energetic, Intelligent</t>
  </si>
  <si>
    <t>English Shepherd</t>
  </si>
  <si>
    <t>Adaptable, Alert, Courageous, Energetic, Friendly, Independent, Intelligent, Playful, Responsibe</t>
  </si>
  <si>
    <t>English Springer Spaniel</t>
  </si>
  <si>
    <t>Affectionate, Alert, Cheerful, Energetic, Intelligent, Playful, Social</t>
  </si>
  <si>
    <t>English Toy Spaniel</t>
  </si>
  <si>
    <t>Blenheim Spaniel</t>
  </si>
  <si>
    <t>Affectionate, Gentle, Happy, Loving, Playful, Reserved</t>
  </si>
  <si>
    <t>Entlebucher</t>
  </si>
  <si>
    <t>Agile, Devoted, Independent, Loyal, Self-confident</t>
  </si>
  <si>
    <t>Eskimo Dog</t>
  </si>
  <si>
    <t>Feist</t>
  </si>
  <si>
    <t>Agile, Alert, Lovable, Spirited, Swift</t>
  </si>
  <si>
    <t>Field Spaniel</t>
  </si>
  <si>
    <t>Adaptable, Cautious, Docile, Familial, Sensitive, Sociable</t>
  </si>
  <si>
    <t>Fila Brasileiro</t>
  </si>
  <si>
    <t>Brave, Courageous, Determined, Docile, Loyal, Obedient</t>
  </si>
  <si>
    <t>Finnish Lapphund</t>
  </si>
  <si>
    <t>Calm, Courageous, Faithful, Friendly, Keen</t>
  </si>
  <si>
    <t>Finnish Spitz</t>
  </si>
  <si>
    <t>Happy, Independent, Intelligent, Loyal, Playful, Vocal</t>
  </si>
  <si>
    <t>Flat-coated Retriever</t>
  </si>
  <si>
    <t>Friendly, Confident, Devoted, Optimistic, Outgoing, Intelligent</t>
  </si>
  <si>
    <t>Fox Terrier</t>
  </si>
  <si>
    <t>Active, Affectionate, Alert, Fearless, Intelligent, Playful</t>
  </si>
  <si>
    <t>Foxhound</t>
  </si>
  <si>
    <t>Independent, Intelligent, Kind, Loving, Loyal, Sweet-tempered</t>
  </si>
  <si>
    <t>French Bulldog</t>
  </si>
  <si>
    <t>Affectionate, Playful, Alert, Athletic, Bright, Easygoing, Keen, Lively, Patient</t>
  </si>
  <si>
    <t>Galgo Spanish Greyhound</t>
  </si>
  <si>
    <t>Affectionate, Calm, Quiet, Gentle</t>
  </si>
  <si>
    <t>German Pinscher</t>
  </si>
  <si>
    <t>Even-tempered, Familial, Courageous, Lively, Loving, Spirited</t>
  </si>
  <si>
    <t>German Shepherd Dog</t>
  </si>
  <si>
    <t>German Shepherd</t>
  </si>
  <si>
    <t>Alert, Confident, Courageous, Curious, Intelligent, Loyal, Obedient, Watchful</t>
  </si>
  <si>
    <t>German Shorthaired Pointer</t>
  </si>
  <si>
    <t>German Short Haired Pointer</t>
  </si>
  <si>
    <t>Affectionate, Boisterous, Bold, Cooperative, Intelligent, Trainable</t>
  </si>
  <si>
    <t>German Spitz</t>
  </si>
  <si>
    <t>German Wirehaired Pointer</t>
  </si>
  <si>
    <t>Active, Affectionate, Friendly, Intelligent, Loyal, Willful, Responsive</t>
  </si>
  <si>
    <t>Giant Schnauzer</t>
  </si>
  <si>
    <t>Dominant, Intelligent, Kind, Loyal, Powerful, Strong-willed</t>
  </si>
  <si>
    <t>Glen of Imaal Terrier</t>
  </si>
  <si>
    <t>Active, Agile, Courageous, Gentle, Loyal, Spirited</t>
  </si>
  <si>
    <t>Golden Retriever</t>
  </si>
  <si>
    <t>Confident, Friendly, Intelligent, Kind, Reliable, Trustworthy</t>
  </si>
  <si>
    <t>Gordon Setter</t>
  </si>
  <si>
    <t>Alert, Confident, Eager, Fearless, Loyal, Intelligent</t>
  </si>
  <si>
    <t>Great Dane</t>
  </si>
  <si>
    <t>Friendly, Confident, Devoted, Intelligent, Gentle, Loving, Reserved</t>
  </si>
  <si>
    <t>Great Pyrenees</t>
  </si>
  <si>
    <t>Affectionate, Confident, Fearless, Gentle, Patient, Strong-willed</t>
  </si>
  <si>
    <t>Greater Swiss Mountain Dog</t>
  </si>
  <si>
    <t>Alert, Devoted, Fearless, Good-natured, Protective, Self-confident</t>
  </si>
  <si>
    <t>Greyhound</t>
  </si>
  <si>
    <t>Intelligent, Gentle, Affectionate, Athletic, Even-tempered, Quiet</t>
  </si>
  <si>
    <t>Harrier</t>
  </si>
  <si>
    <t>Active, Cheerful, Friendly, Outgoing, Sweet-tempered, Tolerant</t>
  </si>
  <si>
    <t>Havanese</t>
  </si>
  <si>
    <t>Affectionate, Companionable, Gentle, Intelligent, Playful, Responsive</t>
  </si>
  <si>
    <t>Hovawart</t>
  </si>
  <si>
    <t>Watchful, Even-tempered, Reserved, Active, Devoted</t>
  </si>
  <si>
    <t>Husky</t>
  </si>
  <si>
    <t>Alert, Friendly, Gentle, Intelligent, Outgoing</t>
  </si>
  <si>
    <t>Ibizan Hound</t>
  </si>
  <si>
    <t>Active, Clownish, Engaging, Independent, Intelligent, Stubborn</t>
  </si>
  <si>
    <t>Illyrian Sheepdog</t>
  </si>
  <si>
    <t>Independent, Reliable, Devoted, Protective</t>
  </si>
  <si>
    <t>Irish Setter</t>
  </si>
  <si>
    <t>Affectionate, Companionable, Energetic, Independent, Lively, Playful, Intelligent</t>
  </si>
  <si>
    <t>Irish Terrier</t>
  </si>
  <si>
    <t>Dominant, Intelligent, Lively, Protective, Respectful, Trainable</t>
  </si>
  <si>
    <t>Irish Water Spaniel</t>
  </si>
  <si>
    <t>Active, Alert, Clownish, Inquisitive, Intelligent, Quick</t>
  </si>
  <si>
    <t>Irish Wolfhound</t>
  </si>
  <si>
    <t>Dignified, Generous, Loyal, Patient, Sweet-tempered, Thoughtful, Intelligent</t>
  </si>
  <si>
    <t>Italian Greyhound</t>
  </si>
  <si>
    <t>Affectionate, Agile, Athletic, Companionable, Intelligent, Mischevious</t>
  </si>
  <si>
    <t>Italian Spinone</t>
  </si>
  <si>
    <t>Friendly, Loyal, Affectionate, Docile, Gentle, Patient</t>
  </si>
  <si>
    <t>Jack Russell Terrier</t>
  </si>
  <si>
    <t>Alert, Cheerful, Courageous, Energetic, Independent</t>
  </si>
  <si>
    <t>Jack Russell Terrier (Parson Russell Terrier)</t>
  </si>
  <si>
    <t>Energetic, Bold, Eager, Happy, Intelligent, Obedient</t>
  </si>
  <si>
    <t>Japanese Chin</t>
  </si>
  <si>
    <t>Japanese Spaniel</t>
  </si>
  <si>
    <t>Alert, Cat-like, Independent, Intelligent, Loving, Loyal, Playful</t>
  </si>
  <si>
    <t>Jindo</t>
  </si>
  <si>
    <t>Active, Bold, Brave, Faithful, Intelligent, Loyal</t>
  </si>
  <si>
    <t>Kai Dog</t>
  </si>
  <si>
    <t>Intelligent, Agile, Alert, Brave</t>
  </si>
  <si>
    <t>Karelian Bear Dog</t>
  </si>
  <si>
    <t>Brave, Cautious, Loyal, Independent, Tenacious, Territorial</t>
  </si>
  <si>
    <t>Keeshond</t>
  </si>
  <si>
    <t>Agile, Bright, Obedient, Playful, Quick, Sturdy, Intelligent</t>
  </si>
  <si>
    <t>Kerry Blue Terrier</t>
  </si>
  <si>
    <t>Affectionate, Alert, Gentle, Loyal, Spirited, Strong-willed, Intelligent</t>
  </si>
  <si>
    <t>Kishu</t>
  </si>
  <si>
    <t>Alert, Dignified, Docile, Faithful, Noble</t>
  </si>
  <si>
    <t>Klee Kai</t>
  </si>
  <si>
    <t>Active, Agile, Curious, Intelligent, Loyal, Quick, Territorial</t>
  </si>
  <si>
    <t>Komondor</t>
  </si>
  <si>
    <t>Affectionate, Calm, Fearless, Gentle, Independent, Steady</t>
  </si>
  <si>
    <t>Kuvasz</t>
  </si>
  <si>
    <t>Clownish, Independent, Intelligent, Loyal, Patient, Protective</t>
  </si>
  <si>
    <t>Kyi Leo</t>
  </si>
  <si>
    <t>Active, Calm, Forgiving, Obedient, Playful, Quiet</t>
  </si>
  <si>
    <t>Labrador Retriever</t>
  </si>
  <si>
    <t>Lakeland Terrier</t>
  </si>
  <si>
    <t>Independent, Bold, Confident, Friendly, Intelligent, Trainable</t>
  </si>
  <si>
    <t>Lancashire Heeler</t>
  </si>
  <si>
    <t>Alert, Clever, Friendly, Intelligent</t>
  </si>
  <si>
    <t>Leonberger</t>
  </si>
  <si>
    <t>Adaptable, Companionable, Fearless, Loving, Loyal, Obedient</t>
  </si>
  <si>
    <t>Lhasa Apso</t>
  </si>
  <si>
    <t>Alert, Assertive, Devoted, Friendly, Intelligent, Lively, Obedient, Playful, Spirited, Steady</t>
  </si>
  <si>
    <t>Lowchen</t>
  </si>
  <si>
    <t>Active, Familial, Friendly, Happy, Playful</t>
  </si>
  <si>
    <t>Maltese</t>
  </si>
  <si>
    <t>Maltese Dog</t>
  </si>
  <si>
    <t>Active, Docile, Easygoing, Gentle, Intelligent, Playful, Responsive, Sweet-tempered</t>
  </si>
  <si>
    <t>Manchester Terrier</t>
  </si>
  <si>
    <t>Active, Alert, Devoted, Discerning, Quiet, Loyal, Intelligent</t>
  </si>
  <si>
    <t>Maremma Sheepdog</t>
  </si>
  <si>
    <t>Alert, Determined, Dignified, Friendly, Intelligent, Loyal</t>
  </si>
  <si>
    <t>Mastiff</t>
  </si>
  <si>
    <t>Affectionate, Alert, Cheerful, Courageous, Intelligent, Loyal, Protective</t>
  </si>
  <si>
    <t>McNab</t>
  </si>
  <si>
    <t>Friendly, Hard-working, Obedient, Protective, Sociable, Well-mannered</t>
  </si>
  <si>
    <t>Miniature Pinscher</t>
  </si>
  <si>
    <t>Clever, Energetic, Friendly, Outgoing, Playful, Responsive, Intelligent</t>
  </si>
  <si>
    <t>Mountain Cur</t>
  </si>
  <si>
    <t>Intelligent, Protective</t>
  </si>
  <si>
    <t>Mountain Dog</t>
  </si>
  <si>
    <t>Munsterlander</t>
  </si>
  <si>
    <t>Intelligent, Trainable, Attentive, Mischevious</t>
  </si>
  <si>
    <t>Neapolitan Mastiff</t>
  </si>
  <si>
    <t>Protective, Dominant, Fearless, Obedient, Stubborn, Trainable</t>
  </si>
  <si>
    <t>New Guinea Singing Dog</t>
  </si>
  <si>
    <t>Southern</t>
  </si>
  <si>
    <t>Active, Affectionate, Alert, Gentle, Lively</t>
  </si>
  <si>
    <t>Newfoundland Dog</t>
  </si>
  <si>
    <t>Newfoundland</t>
  </si>
  <si>
    <t>Cheerful, Courageous, Intelligent, Loyal, Social, Sweet, Gentle</t>
  </si>
  <si>
    <t>Norfolk Terrier</t>
  </si>
  <si>
    <t>Companionable, Fearless, Happy, Lovable, Self-confident, Spirited, Intelligent</t>
  </si>
  <si>
    <t>Norwegian Buhund</t>
  </si>
  <si>
    <t>Agile, Courageous, Energetic, Friendly, Fun-loving</t>
  </si>
  <si>
    <t>Norwegian Elkhound</t>
  </si>
  <si>
    <t>Alert, Bold, Hardy, Loyal, Playful, Strong-willed, Intelligent</t>
  </si>
  <si>
    <t>Norwegian Lundehund</t>
  </si>
  <si>
    <t>Alert, Energetic, Loyal, Protective</t>
  </si>
  <si>
    <t>Norwich Terrier</t>
  </si>
  <si>
    <t>Affectionate, Energetic, Hardy, Intelligent, Sensitive</t>
  </si>
  <si>
    <t>Nova Scotia Duck-Tolling Retriever</t>
  </si>
  <si>
    <t>Gun Dogs</t>
  </si>
  <si>
    <t>Affectionate, Alert, Courageous, Energetic, Gentle, Playful, Responsive</t>
  </si>
  <si>
    <t>Old English Sheepdog</t>
  </si>
  <si>
    <t>Adaptable, Bubbly, Intelligent, Loving, Playful, Sociable, Protective</t>
  </si>
  <si>
    <t>Otterhound</t>
  </si>
  <si>
    <t>Amiable, Boisterous, Even-tempered</t>
  </si>
  <si>
    <t>Papillon</t>
  </si>
  <si>
    <t>Alert, Energetic, Friendly, Happy, Hardy, Intelligent</t>
  </si>
  <si>
    <t>Patterdale Terrier (Fell Terrier)</t>
  </si>
  <si>
    <t>Bold, Confident, Energetic, Friendly, Inquisitive, Intelligent</t>
  </si>
  <si>
    <t>Pekingese</t>
  </si>
  <si>
    <t>Affectionate, Aggressive, Good-natured, Intelligent, Opinionated, Stubborn</t>
  </si>
  <si>
    <t>Peruvian Inca Orchid</t>
  </si>
  <si>
    <t>Affectionate, Alert, Intelligent, Lively, Noble, Protective</t>
  </si>
  <si>
    <t>Petit Basset Griffon Vendeen</t>
  </si>
  <si>
    <t>Active, Extroverted, Friendly, Happy, Independent, Lively, Intelligent</t>
  </si>
  <si>
    <t>Pharaoh Hound</t>
  </si>
  <si>
    <t>Active, Affectionate, Intelligent, Playful, Sociable, Trainable</t>
  </si>
  <si>
    <t>Pit Bull Terrier</t>
  </si>
  <si>
    <t>Affectionate, Aggressive, Clownish, Courageous, Friendly, Intelligent, Loyal, Obedient, Strong-willed, Stubborn</t>
  </si>
  <si>
    <t>Plott Hound</t>
  </si>
  <si>
    <t>Alert, Bold, Courageous, Loyal</t>
  </si>
  <si>
    <t>Podengo Portugueso</t>
  </si>
  <si>
    <t>Active, Companionable, Friendly, Hardy, Lively, Loyal</t>
  </si>
  <si>
    <t>Pointer</t>
  </si>
  <si>
    <t>Polish Lowland Sheepdog</t>
  </si>
  <si>
    <t>Agile, Even-tempered, Lively, Perceptive, Self-confident</t>
  </si>
  <si>
    <t>Pomeranian</t>
  </si>
  <si>
    <t>Active, Extroverted, Friendly, Intelligent, Lively, Playful, Sociable</t>
  </si>
  <si>
    <t>Poodle</t>
  </si>
  <si>
    <t>Active, Alert, Faithful, Instinctual, Intelligent, Trainable</t>
  </si>
  <si>
    <t>Standard Poodle</t>
  </si>
  <si>
    <t>Miniature Poodle</t>
  </si>
  <si>
    <t>Toy Poodle</t>
  </si>
  <si>
    <t>Portuguese Water Dog</t>
  </si>
  <si>
    <t>Brave, Docile, Impetuous, Intelligent, Obedient, Quarrelsome</t>
  </si>
  <si>
    <t>Presa Canario</t>
  </si>
  <si>
    <t>Calm, Dominant, Gentle, Strong-willed, Suspicious</t>
  </si>
  <si>
    <t>Pug</t>
  </si>
  <si>
    <t>Affectionate, Cheerful, Courageous, Gentle, Intelligent, Friendly, Outgoing, Playful, Loyal</t>
  </si>
  <si>
    <t>Puli</t>
  </si>
  <si>
    <t>Agile, Energetic, Faithful, Intelligent, Loyal, Obedient</t>
  </si>
  <si>
    <t>Pumi</t>
  </si>
  <si>
    <t>Active, Intelligent, Lively, Protective, Reserved, Vocal</t>
  </si>
  <si>
    <t>Rat Terrier</t>
  </si>
  <si>
    <t>Affectioante, Alert, Inquisitive, Lively, Loving</t>
  </si>
  <si>
    <t>Redbone Coonhound</t>
  </si>
  <si>
    <t>Redbone</t>
  </si>
  <si>
    <t>Affectionate, Companionable, Energetic, Familial, Independent, Unflappable</t>
  </si>
  <si>
    <t>Retriever</t>
  </si>
  <si>
    <t>Rhodesian Ridgeback</t>
  </si>
  <si>
    <t>Dignified, Intelligent, Loyal, Mischevious, Sensitive, Strong-willed</t>
  </si>
  <si>
    <t>Rottweiler</t>
  </si>
  <si>
    <t>Alert, Courageous, Fearless, Good-natured, Independent, Intelligent, Loyal, Protective</t>
  </si>
  <si>
    <t>Saint Bernard</t>
  </si>
  <si>
    <t>Friendly, Gentle, Independent, Intelligent, Outgoing, Quiet, Social</t>
  </si>
  <si>
    <t>Saluki</t>
  </si>
  <si>
    <t>Aloof, Intelligent, Quiet, Reserverd, Loyal</t>
  </si>
  <si>
    <t>Samoyed</t>
  </si>
  <si>
    <t>Alert, Lively, Friendly, Intelligent, Playful, Sociable, Stubborn</t>
  </si>
  <si>
    <t>Sarplaninac</t>
  </si>
  <si>
    <t>Independent, Calm, Devoted, Intelligent, Protective, Reliable</t>
  </si>
  <si>
    <t>Schipperke</t>
  </si>
  <si>
    <t>Agile, Confident, Curious, Faithful, Fearless, Independent, Intelligent</t>
  </si>
  <si>
    <t>Miniature Schnauzer</t>
  </si>
  <si>
    <t>Devoted, Good-natured, Intelligent, Lively, Playful, Trainable</t>
  </si>
  <si>
    <t>Schnauzer</t>
  </si>
  <si>
    <t>Standard Schnauzer</t>
  </si>
  <si>
    <t>Scottish Deerhound</t>
  </si>
  <si>
    <t>Dignified, Docile, Friendly, Gentle, Polite, Quiet</t>
  </si>
  <si>
    <t>Scottish Terrier Scottie</t>
  </si>
  <si>
    <t>Scotch Terrier</t>
  </si>
  <si>
    <t>Independent, Fiesty, Alert, Playful, Quick, Self-assured</t>
  </si>
  <si>
    <t>Sealyham Terrier</t>
  </si>
  <si>
    <t>Alert, Calm, Even-tempered, Fearless, Friendly, Intelligent</t>
  </si>
  <si>
    <t>Setter</t>
  </si>
  <si>
    <t>Shar Pei</t>
  </si>
  <si>
    <t>Affectionate, Devoted, Independent, Loving, Reserved, Suspicious</t>
  </si>
  <si>
    <t>Sheep Dog</t>
  </si>
  <si>
    <t>Shepherd</t>
  </si>
  <si>
    <t>Shetland Sheepdog Sheltie</t>
  </si>
  <si>
    <t>Shetland Sheepdog</t>
  </si>
  <si>
    <t>Affectionate, Friendly, Gentle, Intelligent, Lively, Playful, Responsive</t>
  </si>
  <si>
    <t>Shiba Inu</t>
  </si>
  <si>
    <t>Alert, Charming, Confident, Faithful, Fearless, Keen, Outgoing</t>
  </si>
  <si>
    <t>Shih Tzu</t>
  </si>
  <si>
    <t>Active, Courageous, Friendly, Gentle, Happy, Intelligent, Lively, Outgoing, Playful</t>
  </si>
  <si>
    <t>Siberian Husky</t>
  </si>
  <si>
    <t>Silky Terrier</t>
  </si>
  <si>
    <t>Alert, Friendly, Inquisitive, Joyful, Quick, Responsive, Intelligent</t>
  </si>
  <si>
    <t>Skye Terrier</t>
  </si>
  <si>
    <t>Loyal, Fearless, Friendly, Good-tempered, Intelligent</t>
  </si>
  <si>
    <t>Sloughi</t>
  </si>
  <si>
    <t>Alert, Faithful, Intelligent, Sensitive, Independent, Playful, Sweet</t>
  </si>
  <si>
    <t>Smooth Fox Terrier</t>
  </si>
  <si>
    <t>South Russian Ovtcharka</t>
  </si>
  <si>
    <t>Active, Balanced, Courageous, Lively, Nervous</t>
  </si>
  <si>
    <t>Spaniel</t>
  </si>
  <si>
    <t>Spitz</t>
  </si>
  <si>
    <t>Staffordshire Bull Terrier</t>
  </si>
  <si>
    <t>Staffordshire Bullterrier</t>
  </si>
  <si>
    <t>Affectionate, Bold, Courageous, Fearless, Intelligent, Reliable</t>
  </si>
  <si>
    <t>Sussex Spaniel</t>
  </si>
  <si>
    <t>Calm, Cheerful, Companionable, Devoted, Friendly, Sociable</t>
  </si>
  <si>
    <t>Swedish Vallhund</t>
  </si>
  <si>
    <t>Alert, Energetic, Fearless, Friendly, Watchful</t>
  </si>
  <si>
    <t>Affectionate, Alert, Courageous, Intelligent, Friendly, Hardy, Independent</t>
  </si>
  <si>
    <t>Thai Ridgeback</t>
  </si>
  <si>
    <t>Familial, Independent, Loving, Loyal, Protective</t>
  </si>
  <si>
    <t>Tibetan Mastiff</t>
  </si>
  <si>
    <t>Aloof, Protective, Strong-willed, Stubborn, Courageous, Loyal</t>
  </si>
  <si>
    <t>Tibetan Spaniel</t>
  </si>
  <si>
    <t>Intelligent, Assertive, Aloof, Happy, Independent, Willful</t>
  </si>
  <si>
    <t>Tibetan Terrier</t>
  </si>
  <si>
    <t>Affectionate, Amiable, Energetic, Gentle, Reserved, Sensitive, Intelligent</t>
  </si>
  <si>
    <t>Tosa Inu</t>
  </si>
  <si>
    <t>Aggressive, Brave, Fearless, Intelligent, Sensitive, Suspicious</t>
  </si>
  <si>
    <t>Toy Fox Terrier</t>
  </si>
  <si>
    <t>Toy Terrier</t>
  </si>
  <si>
    <t>Alert, Friendly, Intelligent, Loyal, Playful, Spirited</t>
  </si>
  <si>
    <t>Treeing Walker Coonhound</t>
  </si>
  <si>
    <t>Walker Hound</t>
  </si>
  <si>
    <t>Affectionate, Clever, Confident, Loving, Trainable</t>
  </si>
  <si>
    <t>Vizsla</t>
  </si>
  <si>
    <t>Affectionate, Cheerful, Energetic, Gentle, Intelligent, Playful, Protective, Quiet</t>
  </si>
  <si>
    <t>Weimaraner</t>
  </si>
  <si>
    <t>Alert, Aloof, Energetic, Fast, Intelligent, Powerful, Steady, Stubborn, Social</t>
  </si>
  <si>
    <t>Welsh Corgi</t>
  </si>
  <si>
    <t>Cardigan</t>
  </si>
  <si>
    <t>Pembroke</t>
  </si>
  <si>
    <t>Welsh Springer Spaniel</t>
  </si>
  <si>
    <t>Affectionate, Loyal, Active, Friendly, Playful, Stubborn, Intelligent</t>
  </si>
  <si>
    <t>Welsh Terrier</t>
  </si>
  <si>
    <t>Alert, Friendly, Intelligent, Spirited, Independent, Loving</t>
  </si>
  <si>
    <t>West Highland White Terrier Westie</t>
  </si>
  <si>
    <t>West Highland White Terrier</t>
  </si>
  <si>
    <t>Wheaten Terrier</t>
  </si>
  <si>
    <t>Soft Coated Wheaten Terrier</t>
  </si>
  <si>
    <t>Affectionate, Energetic, Faithful, Intelligent, Playful, Spirited</t>
  </si>
  <si>
    <t>Whippet</t>
  </si>
  <si>
    <t>Affectionate, Friendly, Gentle, Intelligent, Lively, Quiet</t>
  </si>
  <si>
    <t>White German Shepherd</t>
  </si>
  <si>
    <t>Wire Fox Terrier</t>
  </si>
  <si>
    <t>Wire Haired Fox Terrier</t>
  </si>
  <si>
    <t>Alert, Bold, Fearless, Friendly, Keen, Quick, Intelligent</t>
  </si>
  <si>
    <t>Wire-haired Pointing Griffon</t>
  </si>
  <si>
    <t>Gentle, Loyal, Proud, Trainable, Vigilant, Intelligent</t>
  </si>
  <si>
    <t>Wirehaired Terrier</t>
  </si>
  <si>
    <t>Xoloitzcuintle/Mexican Hairless</t>
  </si>
  <si>
    <t>Mexican Hairless</t>
  </si>
  <si>
    <t>Aleret, Calm, Cheerful, Companionable, Loyal, Protective</t>
  </si>
  <si>
    <t>Yellow Labrador Retriever</t>
  </si>
  <si>
    <t>Yorkshire Terrier Yorkie</t>
  </si>
  <si>
    <t>Yorkshire Terrier</t>
  </si>
  <si>
    <t>Alert, Courageous, Energetic, Independent, Intelligent, Loyal, Playful</t>
  </si>
  <si>
    <t>Mixed Breed</t>
  </si>
  <si>
    <t>LapCat</t>
  </si>
  <si>
    <t>Fur</t>
  </si>
  <si>
    <t>AvgKittenPrice</t>
  </si>
  <si>
    <t>Abyssinian</t>
  </si>
  <si>
    <t>Lap</t>
  </si>
  <si>
    <t>Short</t>
  </si>
  <si>
    <t>Active, Energetic, Independent, Intelligent, Gentle</t>
  </si>
  <si>
    <t>American Curl</t>
  </si>
  <si>
    <t>Medium</t>
  </si>
  <si>
    <t>Affectionate, Curious, Intelligent, Interactive, Lively, Playful, Social</t>
  </si>
  <si>
    <t>American Shorthair</t>
  </si>
  <si>
    <t>Active, Curious, Easygoing, Playful, Calm</t>
  </si>
  <si>
    <t>American Wirehair</t>
  </si>
  <si>
    <t>Affectionate, Curious, Gentle, Intelligent, Interactive, Lively, Loyal, Playful, Sensible, Social</t>
  </si>
  <si>
    <t>Applehead Siamese</t>
  </si>
  <si>
    <t>Active, Agile, Clever, Sociable, Loving, Energetic</t>
  </si>
  <si>
    <t>Balinese</t>
  </si>
  <si>
    <t>Non Lap</t>
  </si>
  <si>
    <t>Long</t>
  </si>
  <si>
    <t>Affectionate, Intelligent, Playful</t>
  </si>
  <si>
    <t>Bengal</t>
  </si>
  <si>
    <t>Active, Agile, Lively, Affectionate, Energetic, Rambunctious</t>
  </si>
  <si>
    <t>Birman</t>
  </si>
  <si>
    <t>Affectionate, Active, Gentle, Social</t>
  </si>
  <si>
    <t>Bobtail</t>
  </si>
  <si>
    <t>Intelligent, Interactive, Lively, Playful, Sensitive</t>
  </si>
  <si>
    <t>Bombay</t>
  </si>
  <si>
    <t>Affectionate, Dependent, Gentle, Intelligent, Playful</t>
  </si>
  <si>
    <t>British Shorthair</t>
  </si>
  <si>
    <t>Affectionate, Easygoing, Gentle, Loyal, Patient, Calm</t>
  </si>
  <si>
    <t>Burmese</t>
  </si>
  <si>
    <t>Curious, Intelligent, Gentle, Social, Interactive, Playful, Lively</t>
  </si>
  <si>
    <t>Burmilla</t>
  </si>
  <si>
    <t>Easygoing, Friendly, Intelligent, Lively, Playful, Social</t>
  </si>
  <si>
    <t>Calico</t>
  </si>
  <si>
    <t>Generic</t>
  </si>
  <si>
    <t>Canadian Hairless</t>
  </si>
  <si>
    <t>Bald</t>
  </si>
  <si>
    <t>Loyal, Inquisitive, Friendly, Quiet, Gentle</t>
  </si>
  <si>
    <t>Chartreux</t>
  </si>
  <si>
    <t>Affectionate, Loyal, Intelligent, Social, Lively, Playful</t>
  </si>
  <si>
    <t>Chausie</t>
  </si>
  <si>
    <t>Affectionate, Intelligent, Playful, Social</t>
  </si>
  <si>
    <t>Chinchilla</t>
  </si>
  <si>
    <t>Rodent</t>
  </si>
  <si>
    <t>Active, Playful</t>
  </si>
  <si>
    <t>Cornish Rex</t>
  </si>
  <si>
    <t>Affectionate, Intelligent, Active, Curious, Playful</t>
  </si>
  <si>
    <t>Cymric</t>
  </si>
  <si>
    <t>Gentle, Loyal, Intelligent, Playful</t>
  </si>
  <si>
    <t>Devon Rex</t>
  </si>
  <si>
    <t>Intelligent, Active, Mischevious, Playful</t>
  </si>
  <si>
    <t>Dilute Calico</t>
  </si>
  <si>
    <t>Dilute Tortoiseshell</t>
  </si>
  <si>
    <t>Domestic Long Hair</t>
  </si>
  <si>
    <t>Domestic Medium Hair</t>
  </si>
  <si>
    <t>Domestic Short Hair</t>
  </si>
  <si>
    <t>Egyptian Mau</t>
  </si>
  <si>
    <t>Agile, Dependent, Gentle, Intelligent, Lively, Loyal, Playful</t>
  </si>
  <si>
    <t>Exotic Shorthair</t>
  </si>
  <si>
    <t>Affectionate, Sweet, Loyal, Quiet, Peaceful</t>
  </si>
  <si>
    <t>Extra-Toes Cat (Hemingway Polydactyl)</t>
  </si>
  <si>
    <t>Six-Toed</t>
  </si>
  <si>
    <t>Havana</t>
  </si>
  <si>
    <t>Affectionate, Curious, Demanding, Friendly, Intelligent, Playful</t>
  </si>
  <si>
    <t>Himalayan</t>
  </si>
  <si>
    <t>Dependent, Gentle, Intelligent, Quiet, Social</t>
  </si>
  <si>
    <t>Japanese Bobtail</t>
  </si>
  <si>
    <t>Active, Agile, Clever, Easygoing, Intelligent, Lively, Loyal, Playful, Social</t>
  </si>
  <si>
    <t>Javanese</t>
  </si>
  <si>
    <t>Active, Devoted, Intelligent, Playful</t>
  </si>
  <si>
    <t>Korat</t>
  </si>
  <si>
    <t>Affectionate, Friendly, Gentle, Intelligent, Playful, Quiet</t>
  </si>
  <si>
    <t>LaPerm</t>
  </si>
  <si>
    <t>Intelligent, Clever, Active, Genlte</t>
  </si>
  <si>
    <t>Maine Coon</t>
  </si>
  <si>
    <t>Adaptable, Intelligent, Loving, Gentle, Independent</t>
  </si>
  <si>
    <t>Manx</t>
  </si>
  <si>
    <t>Easygoing, Intelligent, Loyal, Playful, Social</t>
  </si>
  <si>
    <t>Munchkin</t>
  </si>
  <si>
    <t>Agile, Easygoing, Intelligent, Playful</t>
  </si>
  <si>
    <t>Nebelung</t>
  </si>
  <si>
    <t>Gentle, Quiet, Shy, Playful</t>
  </si>
  <si>
    <t>Norwegian Forest Cat</t>
  </si>
  <si>
    <t>Sweet, Active, Intelligent, Social, Playful, Lively, Curious</t>
  </si>
  <si>
    <t>Ocicat</t>
  </si>
  <si>
    <t>Active, Agile, Curious, Demanding, Friendly, Gentle, Lively, Playful, Social</t>
  </si>
  <si>
    <t>Oriental Long Hair</t>
  </si>
  <si>
    <t>Energetic, Affectionate, Intelligent, Social, Playful, Curious</t>
  </si>
  <si>
    <t>Oriental Short Hair</t>
  </si>
  <si>
    <t>Oriental Tabby</t>
  </si>
  <si>
    <t>Persian</t>
  </si>
  <si>
    <t>Affectionate, Loyal, Sedate, Quiet</t>
  </si>
  <si>
    <t>Pixie-Bob</t>
  </si>
  <si>
    <t>Affectionate, Social, Intelligent, Loyal</t>
  </si>
  <si>
    <t>Ragamuffin</t>
  </si>
  <si>
    <t>Affectionate, Friendly, Gentle, Calm</t>
  </si>
  <si>
    <t>Ragdoll</t>
  </si>
  <si>
    <t>Affectioante, Friendly, Gentle, Quiet, Easygoing</t>
  </si>
  <si>
    <t>Russian Blue</t>
  </si>
  <si>
    <t>Active, Dependent, Easygoing, Gentle, Intelligent, Loyal, Playful, Quiet</t>
  </si>
  <si>
    <t>Scottish Fold</t>
  </si>
  <si>
    <t>Affectionate, Intelligent, Loyal, Playful, Social, Sweet, Loving</t>
  </si>
  <si>
    <t>Selkirk Rex</t>
  </si>
  <si>
    <t>Active, Affectionate, Dependent, Gentle, Patient, Playful, Quiet, Social</t>
  </si>
  <si>
    <t>Siamese</t>
  </si>
  <si>
    <t>Siberian</t>
  </si>
  <si>
    <t>Intelligent, Loyal, Quiet, Active</t>
  </si>
  <si>
    <t>Silver</t>
  </si>
  <si>
    <t>Singapura</t>
  </si>
  <si>
    <t>Affectionate, Curious, Easygoing, Intelligent, Interactive, Lively, Loyal</t>
  </si>
  <si>
    <t>Snowshoe</t>
  </si>
  <si>
    <t>Affectionate, Social, Intelligent, Sweet-tempered</t>
  </si>
  <si>
    <t>Somali</t>
  </si>
  <si>
    <t>Mischevious, Tenacious, Intelligent, Affectionate, Gentle, Interactive, Loyal</t>
  </si>
  <si>
    <t>Sphynx (hairless cat)</t>
  </si>
  <si>
    <t>Sphynx</t>
  </si>
  <si>
    <t>Tabby</t>
  </si>
  <si>
    <t>Tiger</t>
  </si>
  <si>
    <t>Playful, Social, Intelligent</t>
  </si>
  <si>
    <t>Tonkinese</t>
  </si>
  <si>
    <t>Curious, Intelligent, Social, Lively, Outgoing, Playful, Affectionate</t>
  </si>
  <si>
    <t>Torbie</t>
  </si>
  <si>
    <t>Tortoiseshell</t>
  </si>
  <si>
    <t>Turkish Angora</t>
  </si>
  <si>
    <t>Affectionate, Agile, Clever, Gentle, Intelligent, Playful, Social</t>
  </si>
  <si>
    <t>Turkish Van</t>
  </si>
  <si>
    <t>Agile, Intelligent, Loyal, Playful, Energetic</t>
  </si>
  <si>
    <t>Tuxedo</t>
  </si>
  <si>
    <t xml:space="preserve">Average sales </t>
  </si>
  <si>
    <t xml:space="preserve">Average sale </t>
  </si>
  <si>
    <t xml:space="preserve">Herding </t>
  </si>
  <si>
    <t xml:space="preserve">Non sporting </t>
  </si>
  <si>
    <t>bald</t>
  </si>
  <si>
    <t xml:space="preserve">long </t>
  </si>
  <si>
    <t xml:space="preserve">fut  type </t>
  </si>
  <si>
    <t xml:space="preserve">TOP 10 CAT BREEDS BASED ON POPULARITY </t>
  </si>
  <si>
    <r>
      <rPr>
        <sz val="12"/>
        <color rgb="FFFF0000"/>
        <rFont val="Calibri"/>
        <family val="2"/>
        <scheme val="minor"/>
      </rPr>
      <t xml:space="preserve">Buttom 10 CATS BREEDS ON POPULARITY </t>
    </r>
    <r>
      <rPr>
        <sz val="12"/>
        <color theme="1"/>
        <rFont val="Calibri"/>
        <family val="2"/>
        <scheme val="minor"/>
      </rPr>
      <t xml:space="preserve"> </t>
    </r>
  </si>
  <si>
    <r>
      <rPr>
        <sz val="12"/>
        <color rgb="FFFF0000"/>
        <rFont val="Calibri"/>
        <family val="2"/>
        <scheme val="minor"/>
      </rPr>
      <t xml:space="preserve">Top 10 DOGS BREEDS BASED ON POPULARITY </t>
    </r>
    <r>
      <rPr>
        <sz val="12"/>
        <color theme="1"/>
        <rFont val="Calibri"/>
        <family val="2"/>
        <scheme val="minor"/>
      </rPr>
      <t xml:space="preserve">                 </t>
    </r>
  </si>
  <si>
    <r>
      <rPr>
        <sz val="12"/>
        <color rgb="FFFF0000"/>
        <rFont val="Calibri"/>
        <family val="2"/>
        <scheme val="minor"/>
      </rPr>
      <t>Buttom 10 DOGS BASED ON POPULARITY</t>
    </r>
    <r>
      <rPr>
        <sz val="12"/>
        <color theme="1"/>
        <rFont val="Calibri"/>
        <family val="2"/>
        <scheme val="minor"/>
      </rPr>
      <t xml:space="preserve"> </t>
    </r>
  </si>
  <si>
    <t xml:space="preserve">AVERAGE PRICE </t>
  </si>
  <si>
    <r>
      <rPr>
        <b/>
        <sz val="12"/>
        <color rgb="FFFF0000"/>
        <rFont val="Calibri"/>
        <family val="2"/>
        <scheme val="minor"/>
      </rPr>
      <t>TOTAL COUNT OF CAT PER FUR TYPE</t>
    </r>
    <r>
      <rPr>
        <sz val="12"/>
        <color theme="1"/>
        <rFont val="Calibri"/>
        <family val="2"/>
        <scheme val="minor"/>
      </rPr>
      <t xml:space="preserve"> </t>
    </r>
  </si>
  <si>
    <t xml:space="preserve">Avearge price </t>
  </si>
  <si>
    <t>Average price</t>
  </si>
  <si>
    <t xml:space="preserve">Average price </t>
  </si>
  <si>
    <r>
      <rPr>
        <b/>
        <sz val="12"/>
        <color rgb="FFFF0000"/>
        <rFont val="Calibri"/>
        <family val="2"/>
        <scheme val="minor"/>
      </rPr>
      <t>Mode of temperament</t>
    </r>
    <r>
      <rPr>
        <sz val="12"/>
        <color theme="1"/>
        <rFont val="Calibri"/>
        <family val="2"/>
        <scheme val="minor"/>
      </rPr>
      <t xml:space="preserve"> </t>
    </r>
  </si>
  <si>
    <t xml:space="preserve">CAT </t>
  </si>
  <si>
    <t xml:space="preserve">DOG </t>
  </si>
  <si>
    <t>DOG</t>
  </si>
  <si>
    <t>CAT</t>
  </si>
  <si>
    <t>AVERAGE MALE WEIGHT</t>
  </si>
  <si>
    <r>
      <rPr>
        <b/>
        <sz val="12"/>
        <color rgb="FFFF0000"/>
        <rFont val="Calibri"/>
        <family val="2"/>
        <scheme val="minor"/>
      </rPr>
      <t>TOTAL COUNT OF AFFECTIONATE TEMPERAMENT</t>
    </r>
    <r>
      <rPr>
        <sz val="12"/>
        <color theme="1"/>
        <rFont val="Calibri"/>
        <family val="2"/>
        <scheme val="minor"/>
      </rPr>
      <t xml:space="preserve"> </t>
    </r>
  </si>
  <si>
    <t>AVERAGE POPULARITYUS 2017</t>
  </si>
  <si>
    <r>
      <rPr>
        <b/>
        <sz val="12"/>
        <color rgb="FFFF0000"/>
        <rFont val="Calibri"/>
        <family val="2"/>
        <scheme val="minor"/>
      </rPr>
      <t>TOTAL COUNT OF DOGS PER GROUP1 CATEGORY</t>
    </r>
    <r>
      <rPr>
        <sz val="12"/>
        <color theme="1"/>
        <rFont val="Calibri"/>
        <family val="2"/>
        <scheme val="minor"/>
      </rPr>
      <t xml:space="preserve">  </t>
    </r>
  </si>
  <si>
    <t xml:space="preserve">            </t>
  </si>
  <si>
    <t xml:space="preserve">medium </t>
  </si>
  <si>
    <t>short</t>
  </si>
  <si>
    <t>southern</t>
  </si>
  <si>
    <t xml:space="preserve">sporting </t>
  </si>
  <si>
    <t>terrier</t>
  </si>
  <si>
    <t>toy</t>
  </si>
  <si>
    <t>working</t>
  </si>
  <si>
    <t>Row Labels</t>
  </si>
  <si>
    <t>(blank)</t>
  </si>
  <si>
    <t>Grand Total</t>
  </si>
  <si>
    <t>Count of BreedName</t>
  </si>
  <si>
    <t>Column1</t>
  </si>
  <si>
    <t>With Affectionate</t>
  </si>
  <si>
    <t>Without Affectionate</t>
  </si>
  <si>
    <t xml:space="preserve"> affectionate </t>
  </si>
  <si>
    <t>Affectiontae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</si>
</sst>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xf numFmtId="0" fontId="18" fillId="0" borderId="0" xfId="0" applyFont="1"/>
    <xf numFmtId="0" fontId="14" fillId="0" borderId="0" xfId="0" applyFon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patternType="solid">
          <fgColor indexed="64"/>
          <bgColor rgb="FFFFFF00"/>
        </patternFill>
      </fill>
    </dxf>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07/relationships/slicerCache" Target="slicerCaches/slicerCache1.xml"/><Relationship Id="rId5" Type="http://schemas.openxmlformats.org/officeDocument/2006/relationships/externalLink" Target="externalLinks/externalLink1.xml"/><Relationship Id="rId15" Type="http://schemas.microsoft.com/office/2007/relationships/slicerCache" Target="slicerCaches/slicerCache5.xml"/><Relationship Id="rId10" Type="http://schemas.openxmlformats.org/officeDocument/2006/relationships/pivotCacheDefinition" Target="pivotCache/pivotCacheDefinition4.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s>
</file>

<file path=xl/drawings/drawing1.xml><?xml version="1.0" encoding="utf-8"?>
<xdr:wsDr xmlns:xdr="http://schemas.openxmlformats.org/drawingml/2006/spreadsheetDrawing" xmlns:a="http://schemas.openxmlformats.org/drawingml/2006/main">
  <xdr:twoCellAnchor editAs="oneCell">
    <xdr:from>
      <xdr:col>5</xdr:col>
      <xdr:colOff>222250</xdr:colOff>
      <xdr:row>0</xdr:row>
      <xdr:rowOff>184150</xdr:rowOff>
    </xdr:from>
    <xdr:to>
      <xdr:col>7</xdr:col>
      <xdr:colOff>736600</xdr:colOff>
      <xdr:row>14</xdr:row>
      <xdr:rowOff>142869</xdr:rowOff>
    </xdr:to>
    <mc:AlternateContent xmlns:mc="http://schemas.openxmlformats.org/markup-compatibility/2006" xmlns:a14="http://schemas.microsoft.com/office/drawing/2010/main">
      <mc:Choice Requires="a14">
        <xdr:graphicFrame macro="">
          <xdr:nvGraphicFramePr>
            <xdr:cNvPr id="2" name="LapCat">
              <a:extLst>
                <a:ext uri="{FF2B5EF4-FFF2-40B4-BE49-F238E27FC236}">
                  <a16:creationId xmlns:a16="http://schemas.microsoft.com/office/drawing/2014/main" id="{7ACA9D57-F732-3CB0-CAE3-B62417E32D59}"/>
                </a:ext>
              </a:extLst>
            </xdr:cNvPr>
            <xdr:cNvGraphicFramePr/>
          </xdr:nvGraphicFramePr>
          <xdr:xfrm>
            <a:off x="0" y="0"/>
            <a:ext cx="0" cy="0"/>
          </xdr:xfrm>
          <a:graphic>
            <a:graphicData uri="http://schemas.microsoft.com/office/drawing/2010/slicer">
              <sle:slicer xmlns:sle="http://schemas.microsoft.com/office/drawing/2010/slicer" name="LapCat"/>
            </a:graphicData>
          </a:graphic>
        </xdr:graphicFrame>
      </mc:Choice>
      <mc:Fallback xmlns="">
        <xdr:sp macro="" textlink="">
          <xdr:nvSpPr>
            <xdr:cNvPr id="0" name=""/>
            <xdr:cNvSpPr>
              <a:spLocks noTextEdit="1"/>
            </xdr:cNvSpPr>
          </xdr:nvSpPr>
          <xdr:spPr>
            <a:xfrm>
              <a:off x="6013450" y="1841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114300</xdr:colOff>
      <xdr:row>15</xdr:row>
      <xdr:rowOff>120650</xdr:rowOff>
    </xdr:from>
    <xdr:to>
      <xdr:col>7</xdr:col>
      <xdr:colOff>628650</xdr:colOff>
      <xdr:row>29</xdr:row>
      <xdr:rowOff>79369</xdr:rowOff>
    </xdr:to>
    <mc:AlternateContent xmlns:mc="http://schemas.openxmlformats.org/markup-compatibility/2006" xmlns:a14="http://schemas.microsoft.com/office/drawing/2010/main">
      <mc:Choice Requires="a14">
        <xdr:graphicFrame macro="">
          <xdr:nvGraphicFramePr>
            <xdr:cNvPr id="3" name="Group1">
              <a:extLst>
                <a:ext uri="{FF2B5EF4-FFF2-40B4-BE49-F238E27FC236}">
                  <a16:creationId xmlns:a16="http://schemas.microsoft.com/office/drawing/2014/main" id="{44D98D0C-C3E3-E8CE-1E30-528940F6AAA2}"/>
                </a:ext>
              </a:extLst>
            </xdr:cNvPr>
            <xdr:cNvGraphicFramePr/>
          </xdr:nvGraphicFramePr>
          <xdr:xfrm>
            <a:off x="0" y="0"/>
            <a:ext cx="0" cy="0"/>
          </xdr:xfrm>
          <a:graphic>
            <a:graphicData uri="http://schemas.microsoft.com/office/drawing/2010/slicer">
              <sle:slicer xmlns:sle="http://schemas.microsoft.com/office/drawing/2010/slicer" name="Group1"/>
            </a:graphicData>
          </a:graphic>
        </xdr:graphicFrame>
      </mc:Choice>
      <mc:Fallback xmlns="">
        <xdr:sp macro="" textlink="">
          <xdr:nvSpPr>
            <xdr:cNvPr id="0" name=""/>
            <xdr:cNvSpPr>
              <a:spLocks noTextEdit="1"/>
            </xdr:cNvSpPr>
          </xdr:nvSpPr>
          <xdr:spPr>
            <a:xfrm>
              <a:off x="5905500" y="30734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1314450</xdr:colOff>
      <xdr:row>15</xdr:row>
      <xdr:rowOff>190500</xdr:rowOff>
    </xdr:from>
    <xdr:to>
      <xdr:col>11</xdr:col>
      <xdr:colOff>342900</xdr:colOff>
      <xdr:row>29</xdr:row>
      <xdr:rowOff>149219</xdr:rowOff>
    </xdr:to>
    <mc:AlternateContent xmlns:mc="http://schemas.openxmlformats.org/markup-compatibility/2006" xmlns:a14="http://schemas.microsoft.com/office/drawing/2010/main">
      <mc:Choice Requires="a14">
        <xdr:graphicFrame macro="">
          <xdr:nvGraphicFramePr>
            <xdr:cNvPr id="4" name="MalaysiaPopularity">
              <a:extLst>
                <a:ext uri="{FF2B5EF4-FFF2-40B4-BE49-F238E27FC236}">
                  <a16:creationId xmlns:a16="http://schemas.microsoft.com/office/drawing/2014/main" id="{1F8C9DB6-3068-7254-6BB3-D4E39E4F4B73}"/>
                </a:ext>
              </a:extLst>
            </xdr:cNvPr>
            <xdr:cNvGraphicFramePr/>
          </xdr:nvGraphicFramePr>
          <xdr:xfrm>
            <a:off x="0" y="0"/>
            <a:ext cx="0" cy="0"/>
          </xdr:xfrm>
          <a:graphic>
            <a:graphicData uri="http://schemas.microsoft.com/office/drawing/2010/slicer">
              <sle:slicer xmlns:sle="http://schemas.microsoft.com/office/drawing/2010/slicer" name="MalaysiaPopularity"/>
            </a:graphicData>
          </a:graphic>
        </xdr:graphicFrame>
      </mc:Choice>
      <mc:Fallback xmlns="">
        <xdr:sp macro="" textlink="">
          <xdr:nvSpPr>
            <xdr:cNvPr id="0" name=""/>
            <xdr:cNvSpPr>
              <a:spLocks noTextEdit="1"/>
            </xdr:cNvSpPr>
          </xdr:nvSpPr>
          <xdr:spPr>
            <a:xfrm>
              <a:off x="9899650" y="31432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863600</xdr:colOff>
      <xdr:row>16</xdr:row>
      <xdr:rowOff>50800</xdr:rowOff>
    </xdr:from>
    <xdr:to>
      <xdr:col>8</xdr:col>
      <xdr:colOff>1212850</xdr:colOff>
      <xdr:row>30</xdr:row>
      <xdr:rowOff>9519</xdr:rowOff>
    </xdr:to>
    <mc:AlternateContent xmlns:mc="http://schemas.openxmlformats.org/markup-compatibility/2006" xmlns:a14="http://schemas.microsoft.com/office/drawing/2010/main">
      <mc:Choice Requires="a14">
        <xdr:graphicFrame macro="">
          <xdr:nvGraphicFramePr>
            <xdr:cNvPr id="5" name="PopularityUS2017">
              <a:extLst>
                <a:ext uri="{FF2B5EF4-FFF2-40B4-BE49-F238E27FC236}">
                  <a16:creationId xmlns:a16="http://schemas.microsoft.com/office/drawing/2014/main" id="{7B043CE3-9D24-66E3-A3DA-F0ED48DB04F4}"/>
                </a:ext>
              </a:extLst>
            </xdr:cNvPr>
            <xdr:cNvGraphicFramePr/>
          </xdr:nvGraphicFramePr>
          <xdr:xfrm>
            <a:off x="0" y="0"/>
            <a:ext cx="0" cy="0"/>
          </xdr:xfrm>
          <a:graphic>
            <a:graphicData uri="http://schemas.microsoft.com/office/drawing/2010/slicer">
              <sle:slicer xmlns:sle="http://schemas.microsoft.com/office/drawing/2010/slicer" name="PopularityUS2017"/>
            </a:graphicData>
          </a:graphic>
        </xdr:graphicFrame>
      </mc:Choice>
      <mc:Fallback xmlns="">
        <xdr:sp macro="" textlink="">
          <xdr:nvSpPr>
            <xdr:cNvPr id="0" name=""/>
            <xdr:cNvSpPr>
              <a:spLocks noTextEdit="1"/>
            </xdr:cNvSpPr>
          </xdr:nvSpPr>
          <xdr:spPr>
            <a:xfrm>
              <a:off x="7969250" y="32004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501650</xdr:colOff>
      <xdr:row>16</xdr:row>
      <xdr:rowOff>12700</xdr:rowOff>
    </xdr:from>
    <xdr:to>
      <xdr:col>14</xdr:col>
      <xdr:colOff>349250</xdr:colOff>
      <xdr:row>29</xdr:row>
      <xdr:rowOff>168269</xdr:rowOff>
    </xdr:to>
    <mc:AlternateContent xmlns:mc="http://schemas.openxmlformats.org/markup-compatibility/2006" xmlns:a14="http://schemas.microsoft.com/office/drawing/2010/main">
      <mc:Choice Requires="a14">
        <xdr:graphicFrame macro="">
          <xdr:nvGraphicFramePr>
            <xdr:cNvPr id="6" name="MaleWtKg">
              <a:extLst>
                <a:ext uri="{FF2B5EF4-FFF2-40B4-BE49-F238E27FC236}">
                  <a16:creationId xmlns:a16="http://schemas.microsoft.com/office/drawing/2014/main" id="{DC03D846-FFC4-13FD-52BA-612FD15BF4CC}"/>
                </a:ext>
              </a:extLst>
            </xdr:cNvPr>
            <xdr:cNvGraphicFramePr/>
          </xdr:nvGraphicFramePr>
          <xdr:xfrm>
            <a:off x="0" y="0"/>
            <a:ext cx="0" cy="0"/>
          </xdr:xfrm>
          <a:graphic>
            <a:graphicData uri="http://schemas.microsoft.com/office/drawing/2010/slicer">
              <sle:slicer xmlns:sle="http://schemas.microsoft.com/office/drawing/2010/slicer" name="MaleWtKg"/>
            </a:graphicData>
          </a:graphic>
        </xdr:graphicFrame>
      </mc:Choice>
      <mc:Fallback xmlns="">
        <xdr:sp macro="" textlink="">
          <xdr:nvSpPr>
            <xdr:cNvPr id="0" name=""/>
            <xdr:cNvSpPr>
              <a:spLocks noTextEdit="1"/>
            </xdr:cNvSpPr>
          </xdr:nvSpPr>
          <xdr:spPr>
            <a:xfrm>
              <a:off x="11887200" y="31623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taset-cat_breed_characteristi"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ataset-dog_breed_characteristi"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et-cat_breed_characteristi"/>
    </sheetNames>
    <sheetDataSet>
      <sheetData sheetId="0">
        <row r="1">
          <cell r="A1" t="str">
            <v>BreedName</v>
          </cell>
          <cell r="B1" t="str">
            <v>AltBreedName</v>
          </cell>
          <cell r="C1" t="str">
            <v>LapCat</v>
          </cell>
          <cell r="D1" t="str">
            <v>Fur</v>
          </cell>
          <cell r="E1" t="str">
            <v>MaleWtKg</v>
          </cell>
          <cell r="F1" t="str">
            <v>Temperment</v>
          </cell>
          <cell r="G1" t="str">
            <v>AvgKittenPrice</v>
          </cell>
          <cell r="H1" t="str">
            <v>MalaysiaPopularity</v>
          </cell>
          <cell r="I1" t="str">
            <v>PopularityUS2017</v>
          </cell>
        </row>
        <row r="2">
          <cell r="A2" t="str">
            <v>Abyssinian</v>
          </cell>
          <cell r="C2" t="str">
            <v>Lap</v>
          </cell>
          <cell r="D2" t="str">
            <v>Short</v>
          </cell>
          <cell r="E2">
            <v>4</v>
          </cell>
          <cell r="F2" t="str">
            <v>Active, Energetic, Independent, Intelligent, Gentle</v>
          </cell>
          <cell r="G2">
            <v>1050</v>
          </cell>
          <cell r="I2">
            <v>7</v>
          </cell>
        </row>
        <row r="3">
          <cell r="A3" t="str">
            <v>American Curl</v>
          </cell>
          <cell r="C3" t="str">
            <v>Lap</v>
          </cell>
          <cell r="D3" t="str">
            <v>Medium</v>
          </cell>
          <cell r="E3">
            <v>4</v>
          </cell>
          <cell r="F3" t="str">
            <v>Affectionate, Curious, Intelligent, Interactive, Lively, Playful, Social</v>
          </cell>
          <cell r="G3">
            <v>1400</v>
          </cell>
          <cell r="I3">
            <v>26</v>
          </cell>
        </row>
        <row r="4">
          <cell r="A4" t="str">
            <v>American Shorthair</v>
          </cell>
          <cell r="C4" t="str">
            <v>Lap</v>
          </cell>
          <cell r="D4" t="str">
            <v>Short</v>
          </cell>
          <cell r="E4">
            <v>6</v>
          </cell>
          <cell r="F4" t="str">
            <v>Active, Curious, Easygoing, Playful, Calm</v>
          </cell>
          <cell r="G4">
            <v>900</v>
          </cell>
          <cell r="H4">
            <v>5</v>
          </cell>
          <cell r="I4">
            <v>6</v>
          </cell>
        </row>
        <row r="5">
          <cell r="A5" t="str">
            <v>American Wirehair</v>
          </cell>
          <cell r="C5" t="str">
            <v>Lap</v>
          </cell>
          <cell r="D5" t="str">
            <v>Medium</v>
          </cell>
          <cell r="E5">
            <v>6</v>
          </cell>
          <cell r="F5" t="str">
            <v>Affectionate, Curious, Gentle, Intelligent, Interactive, Lively, Loyal, Playful, Sensible, Social</v>
          </cell>
          <cell r="G5">
            <v>1000</v>
          </cell>
          <cell r="I5">
            <v>41</v>
          </cell>
        </row>
        <row r="6">
          <cell r="A6" t="str">
            <v>Applehead Siamese</v>
          </cell>
          <cell r="C6" t="str">
            <v>Lap</v>
          </cell>
          <cell r="D6" t="str">
            <v>Short</v>
          </cell>
          <cell r="E6">
            <v>6</v>
          </cell>
          <cell r="F6" t="str">
            <v>Active, Agile, Clever, Sociable, Loving, Energetic</v>
          </cell>
          <cell r="G6">
            <v>1600</v>
          </cell>
        </row>
        <row r="7">
          <cell r="A7" t="str">
            <v>Balinese</v>
          </cell>
          <cell r="C7" t="str">
            <v>Non Lap</v>
          </cell>
          <cell r="D7" t="str">
            <v>Long</v>
          </cell>
          <cell r="E7">
            <v>4</v>
          </cell>
          <cell r="F7" t="str">
            <v>Affectionate, Intelligent, Playful</v>
          </cell>
          <cell r="G7">
            <v>1300</v>
          </cell>
          <cell r="I7">
            <v>31</v>
          </cell>
        </row>
        <row r="8">
          <cell r="A8" t="str">
            <v>Bengal</v>
          </cell>
          <cell r="C8" t="str">
            <v>Non Lap</v>
          </cell>
          <cell r="D8" t="str">
            <v>Medium</v>
          </cell>
          <cell r="E8">
            <v>6</v>
          </cell>
          <cell r="F8" t="str">
            <v>Active, Agile, Lively, Affectionate, Energetic, Rambunctious</v>
          </cell>
          <cell r="G8">
            <v>1250</v>
          </cell>
          <cell r="H8">
            <v>8</v>
          </cell>
        </row>
        <row r="9">
          <cell r="A9" t="str">
            <v>Birman</v>
          </cell>
          <cell r="C9" t="str">
            <v>Lap</v>
          </cell>
          <cell r="D9" t="str">
            <v>Long</v>
          </cell>
          <cell r="E9">
            <v>5</v>
          </cell>
          <cell r="F9" t="str">
            <v>Affectionate, Active, Gentle, Social</v>
          </cell>
          <cell r="G9">
            <v>850</v>
          </cell>
          <cell r="I9">
            <v>15</v>
          </cell>
        </row>
        <row r="10">
          <cell r="A10" t="str">
            <v>Bobtail</v>
          </cell>
          <cell r="C10" t="str">
            <v>Lap</v>
          </cell>
          <cell r="D10" t="str">
            <v>Medium</v>
          </cell>
          <cell r="E10">
            <v>6</v>
          </cell>
          <cell r="F10" t="str">
            <v>Intelligent, Interactive, Lively, Playful, Sensitive</v>
          </cell>
          <cell r="G10">
            <v>800</v>
          </cell>
          <cell r="I10">
            <v>36</v>
          </cell>
        </row>
        <row r="11">
          <cell r="A11" t="str">
            <v>Bombay</v>
          </cell>
          <cell r="C11" t="str">
            <v>Lap</v>
          </cell>
          <cell r="D11" t="str">
            <v>Short</v>
          </cell>
          <cell r="E11">
            <v>4</v>
          </cell>
          <cell r="F11" t="str">
            <v>Affectionate, Dependent, Gentle, Intelligent, Playful</v>
          </cell>
          <cell r="G11">
            <v>500</v>
          </cell>
          <cell r="I11">
            <v>34</v>
          </cell>
        </row>
        <row r="12">
          <cell r="A12" t="str">
            <v>British Shorthair</v>
          </cell>
          <cell r="C12" t="str">
            <v>Lap</v>
          </cell>
          <cell r="D12" t="str">
            <v>Short</v>
          </cell>
          <cell r="E12">
            <v>7</v>
          </cell>
          <cell r="F12" t="str">
            <v>Affectionate, Easygoing, Gentle, Loyal, Patient, Calm</v>
          </cell>
          <cell r="G12">
            <v>1750</v>
          </cell>
          <cell r="H12">
            <v>6</v>
          </cell>
          <cell r="I12">
            <v>5</v>
          </cell>
        </row>
        <row r="13">
          <cell r="A13" t="str">
            <v>Burmese</v>
          </cell>
          <cell r="C13" t="str">
            <v>Lap</v>
          </cell>
          <cell r="D13" t="str">
            <v>Short</v>
          </cell>
          <cell r="E13">
            <v>5</v>
          </cell>
          <cell r="F13" t="str">
            <v>Curious, Intelligent, Gentle, Social, Interactive, Playful, Lively</v>
          </cell>
          <cell r="G13">
            <v>1250</v>
          </cell>
          <cell r="H13">
            <v>4</v>
          </cell>
          <cell r="I13">
            <v>16</v>
          </cell>
        </row>
        <row r="14">
          <cell r="A14" t="str">
            <v>Burmilla</v>
          </cell>
          <cell r="C14" t="str">
            <v>Lap</v>
          </cell>
          <cell r="D14" t="str">
            <v>Long</v>
          </cell>
          <cell r="E14">
            <v>5</v>
          </cell>
          <cell r="F14" t="str">
            <v>Easygoing, Friendly, Intelligent, Lively, Playful, Social</v>
          </cell>
          <cell r="G14">
            <v>600</v>
          </cell>
          <cell r="I14">
            <v>38</v>
          </cell>
        </row>
        <row r="15">
          <cell r="A15" t="str">
            <v>Calico</v>
          </cell>
          <cell r="C15" t="str">
            <v>Generic</v>
          </cell>
          <cell r="D15" t="str">
            <v>Short</v>
          </cell>
          <cell r="E15">
            <v>6</v>
          </cell>
          <cell r="F15" t="str">
            <v>Active, Curious, Easygoing, Playful, Calm</v>
          </cell>
          <cell r="G15">
            <v>100</v>
          </cell>
        </row>
        <row r="16">
          <cell r="A16" t="str">
            <v>Canadian Hairless</v>
          </cell>
          <cell r="C16" t="str">
            <v>Lap</v>
          </cell>
          <cell r="D16" t="str">
            <v>Bald</v>
          </cell>
          <cell r="E16">
            <v>5</v>
          </cell>
          <cell r="F16" t="str">
            <v>Loyal, Inquisitive, Friendly, Quiet, Gentle</v>
          </cell>
          <cell r="G16">
            <v>1450</v>
          </cell>
          <cell r="I16">
            <v>8</v>
          </cell>
        </row>
        <row r="17">
          <cell r="A17" t="str">
            <v>Chartreux</v>
          </cell>
          <cell r="C17" t="str">
            <v>Lap</v>
          </cell>
          <cell r="D17" t="str">
            <v>Short</v>
          </cell>
          <cell r="E17">
            <v>6</v>
          </cell>
          <cell r="F17" t="str">
            <v>Affectionate, Loyal, Intelligent, Social, Lively, Playful</v>
          </cell>
          <cell r="G17">
            <v>1250</v>
          </cell>
          <cell r="I17">
            <v>27</v>
          </cell>
        </row>
        <row r="18">
          <cell r="A18" t="str">
            <v>Chausie</v>
          </cell>
          <cell r="C18" t="str">
            <v>Non Lap</v>
          </cell>
          <cell r="D18" t="str">
            <v>Short</v>
          </cell>
          <cell r="E18">
            <v>5</v>
          </cell>
          <cell r="F18" t="str">
            <v>Affectionate, Intelligent, Playful, Social</v>
          </cell>
          <cell r="G18">
            <v>1500</v>
          </cell>
        </row>
        <row r="19">
          <cell r="A19" t="str">
            <v>Chinchilla</v>
          </cell>
          <cell r="C19" t="str">
            <v>Rodent</v>
          </cell>
          <cell r="D19" t="str">
            <v>Short</v>
          </cell>
          <cell r="E19">
            <v>1</v>
          </cell>
          <cell r="F19" t="str">
            <v>Active, Playful</v>
          </cell>
          <cell r="G19">
            <v>200</v>
          </cell>
        </row>
        <row r="20">
          <cell r="A20" t="str">
            <v>Cornish Rex</v>
          </cell>
          <cell r="C20" t="str">
            <v>Lap</v>
          </cell>
          <cell r="D20" t="str">
            <v>Short</v>
          </cell>
          <cell r="E20">
            <v>3</v>
          </cell>
          <cell r="F20" t="str">
            <v>Affectionate, Intelligent, Active, Curious, Playful</v>
          </cell>
          <cell r="G20">
            <v>1000</v>
          </cell>
          <cell r="I20">
            <v>11</v>
          </cell>
        </row>
        <row r="21">
          <cell r="A21" t="str">
            <v>Cymric</v>
          </cell>
          <cell r="C21" t="str">
            <v>Lap</v>
          </cell>
          <cell r="D21" t="str">
            <v>Long</v>
          </cell>
          <cell r="E21">
            <v>5</v>
          </cell>
          <cell r="F21" t="str">
            <v>Gentle, Loyal, Intelligent, Playful</v>
          </cell>
          <cell r="G21">
            <v>400</v>
          </cell>
        </row>
        <row r="22">
          <cell r="A22" t="str">
            <v>Devon Rex</v>
          </cell>
          <cell r="C22" t="str">
            <v>Lap</v>
          </cell>
          <cell r="D22" t="str">
            <v>Short</v>
          </cell>
          <cell r="E22">
            <v>3</v>
          </cell>
          <cell r="F22" t="str">
            <v>Intelligent, Active, Mischevious, Playful</v>
          </cell>
          <cell r="G22">
            <v>800</v>
          </cell>
          <cell r="I22">
            <v>12</v>
          </cell>
        </row>
        <row r="23">
          <cell r="A23" t="str">
            <v>Dilute Calico</v>
          </cell>
          <cell r="C23" t="str">
            <v>Generic</v>
          </cell>
          <cell r="D23" t="str">
            <v>Short</v>
          </cell>
          <cell r="E23">
            <v>6</v>
          </cell>
          <cell r="F23" t="str">
            <v>Active, Curious, Easygoing, Playful, Calm</v>
          </cell>
          <cell r="G23">
            <v>100</v>
          </cell>
        </row>
        <row r="24">
          <cell r="A24" t="str">
            <v>Dilute Tortoiseshell</v>
          </cell>
          <cell r="C24" t="str">
            <v>Generic</v>
          </cell>
          <cell r="D24" t="str">
            <v>Short</v>
          </cell>
          <cell r="E24">
            <v>6</v>
          </cell>
          <cell r="F24" t="str">
            <v>Active, Curious, Easygoing, Playful, Calm</v>
          </cell>
          <cell r="G24">
            <v>100</v>
          </cell>
        </row>
        <row r="25">
          <cell r="A25" t="str">
            <v>Domestic Long Hair</v>
          </cell>
          <cell r="C25" t="str">
            <v>Generic</v>
          </cell>
          <cell r="D25" t="str">
            <v>Long</v>
          </cell>
          <cell r="E25">
            <v>6</v>
          </cell>
          <cell r="F25" t="str">
            <v>Active, Curious, Easygoing, Playful, Calm</v>
          </cell>
          <cell r="G25">
            <v>100</v>
          </cell>
        </row>
        <row r="26">
          <cell r="A26" t="str">
            <v>Domestic Medium Hair</v>
          </cell>
          <cell r="C26" t="str">
            <v>Generic</v>
          </cell>
          <cell r="D26" t="str">
            <v>Medium</v>
          </cell>
          <cell r="E26">
            <v>6</v>
          </cell>
          <cell r="F26" t="str">
            <v>Active, Curious, Easygoing, Playful, Calm</v>
          </cell>
          <cell r="G26">
            <v>100</v>
          </cell>
        </row>
        <row r="27">
          <cell r="A27" t="str">
            <v>Domestic Short Hair</v>
          </cell>
          <cell r="C27" t="str">
            <v>Generic</v>
          </cell>
          <cell r="D27" t="str">
            <v>Short</v>
          </cell>
          <cell r="E27">
            <v>6</v>
          </cell>
          <cell r="F27" t="str">
            <v>Active, Curious, Easygoing, Playful, Calm</v>
          </cell>
          <cell r="G27">
            <v>100</v>
          </cell>
        </row>
        <row r="28">
          <cell r="A28" t="str">
            <v>Egyptian Mau</v>
          </cell>
          <cell r="C28" t="str">
            <v>Lap</v>
          </cell>
          <cell r="D28" t="str">
            <v>Medium</v>
          </cell>
          <cell r="E28">
            <v>5</v>
          </cell>
          <cell r="F28" t="str">
            <v>Agile, Dependent, Gentle, Intelligent, Lively, Loyal, Playful</v>
          </cell>
          <cell r="G28">
            <v>800</v>
          </cell>
          <cell r="I28">
            <v>20</v>
          </cell>
        </row>
        <row r="29">
          <cell r="A29" t="str">
            <v>Exotic Shorthair</v>
          </cell>
          <cell r="C29" t="str">
            <v>Lap</v>
          </cell>
          <cell r="D29" t="str">
            <v>Short</v>
          </cell>
          <cell r="E29">
            <v>5</v>
          </cell>
          <cell r="F29" t="str">
            <v>Affectionate, Sweet, Loyal, Quiet, Peaceful</v>
          </cell>
          <cell r="G29">
            <v>1750</v>
          </cell>
          <cell r="H29">
            <v>2</v>
          </cell>
          <cell r="I29">
            <v>1</v>
          </cell>
        </row>
        <row r="30">
          <cell r="A30" t="str">
            <v>Extra-Toes Cat (Hemingway Polydactyl)</v>
          </cell>
          <cell r="C30" t="str">
            <v>Lap</v>
          </cell>
          <cell r="D30" t="str">
            <v>Medium</v>
          </cell>
          <cell r="E30">
            <v>5</v>
          </cell>
          <cell r="F30" t="str">
            <v>Six-Toed</v>
          </cell>
          <cell r="G30">
            <v>2000</v>
          </cell>
        </row>
        <row r="31">
          <cell r="A31" t="str">
            <v>Havana</v>
          </cell>
          <cell r="C31" t="str">
            <v>Lap</v>
          </cell>
          <cell r="D31" t="str">
            <v>Medium</v>
          </cell>
          <cell r="E31">
            <v>4</v>
          </cell>
          <cell r="F31" t="str">
            <v>Affectionate, Curious, Demanding, Friendly, Intelligent, Playful</v>
          </cell>
          <cell r="G31">
            <v>900</v>
          </cell>
          <cell r="I31">
            <v>35</v>
          </cell>
        </row>
        <row r="32">
          <cell r="A32" t="str">
            <v>Himalayan</v>
          </cell>
          <cell r="C32" t="str">
            <v>Lap</v>
          </cell>
          <cell r="D32" t="str">
            <v>Long</v>
          </cell>
          <cell r="E32">
            <v>6</v>
          </cell>
          <cell r="F32" t="str">
            <v>Dependent, Gentle, Intelligent, Quiet, Social</v>
          </cell>
          <cell r="G32">
            <v>800</v>
          </cell>
        </row>
        <row r="33">
          <cell r="A33" t="str">
            <v>Japanese Bobtail</v>
          </cell>
          <cell r="C33" t="str">
            <v>Lap</v>
          </cell>
          <cell r="D33" t="str">
            <v>Long</v>
          </cell>
          <cell r="E33">
            <v>4</v>
          </cell>
          <cell r="F33" t="str">
            <v>Active, Agile, Clever, Easygoing, Intelligent, Lively, Loyal, Playful, Social</v>
          </cell>
          <cell r="G33">
            <v>800</v>
          </cell>
          <cell r="I33">
            <v>24</v>
          </cell>
        </row>
        <row r="34">
          <cell r="A34" t="str">
            <v>Javanese</v>
          </cell>
          <cell r="C34" t="str">
            <v>Non Lap</v>
          </cell>
          <cell r="D34" t="str">
            <v>Medium</v>
          </cell>
          <cell r="E34">
            <v>4</v>
          </cell>
          <cell r="F34" t="str">
            <v>Active, Devoted, Intelligent, Playful</v>
          </cell>
          <cell r="G34">
            <v>1200</v>
          </cell>
        </row>
        <row r="35">
          <cell r="A35" t="str">
            <v>Korat</v>
          </cell>
          <cell r="C35" t="str">
            <v>Lap</v>
          </cell>
          <cell r="D35" t="str">
            <v>Long</v>
          </cell>
          <cell r="E35">
            <v>4</v>
          </cell>
          <cell r="F35" t="str">
            <v>Affectionate, Friendly, Gentle, Intelligent, Playful, Quiet</v>
          </cell>
          <cell r="G35">
            <v>600</v>
          </cell>
          <cell r="I35">
            <v>40</v>
          </cell>
        </row>
        <row r="36">
          <cell r="A36" t="str">
            <v>LaPerm</v>
          </cell>
          <cell r="C36" t="str">
            <v>Lap</v>
          </cell>
          <cell r="D36" t="str">
            <v>Long</v>
          </cell>
          <cell r="E36">
            <v>4</v>
          </cell>
          <cell r="F36" t="str">
            <v>Intelligent, Clever, Active, Genlte</v>
          </cell>
          <cell r="G36">
            <v>500</v>
          </cell>
          <cell r="I36">
            <v>39</v>
          </cell>
        </row>
        <row r="37">
          <cell r="A37" t="str">
            <v>Maine Coon</v>
          </cell>
          <cell r="C37" t="str">
            <v>Lap</v>
          </cell>
          <cell r="D37" t="str">
            <v>Long</v>
          </cell>
          <cell r="E37">
            <v>7</v>
          </cell>
          <cell r="F37" t="str">
            <v>Adaptable, Intelligent, Loving, Gentle, Independent</v>
          </cell>
          <cell r="G37">
            <v>1600</v>
          </cell>
          <cell r="H37">
            <v>1</v>
          </cell>
          <cell r="I37">
            <v>3</v>
          </cell>
        </row>
        <row r="38">
          <cell r="A38" t="str">
            <v>Manx</v>
          </cell>
          <cell r="C38" t="str">
            <v>Lap</v>
          </cell>
          <cell r="D38" t="str">
            <v>Short</v>
          </cell>
          <cell r="E38">
            <v>5</v>
          </cell>
          <cell r="F38" t="str">
            <v>Easygoing, Intelligent, Loyal, Playful, Social</v>
          </cell>
          <cell r="G38">
            <v>500</v>
          </cell>
          <cell r="I38">
            <v>23</v>
          </cell>
        </row>
        <row r="39">
          <cell r="A39" t="str">
            <v>Munchkin</v>
          </cell>
          <cell r="C39" t="str">
            <v>Lap</v>
          </cell>
          <cell r="D39" t="str">
            <v>Medium</v>
          </cell>
          <cell r="E39">
            <v>3</v>
          </cell>
          <cell r="F39" t="str">
            <v>Agile, Easygoing, Intelligent, Playful</v>
          </cell>
          <cell r="G39">
            <v>1500</v>
          </cell>
        </row>
        <row r="40">
          <cell r="A40" t="str">
            <v>Nebelung</v>
          </cell>
          <cell r="C40" t="str">
            <v>Lap</v>
          </cell>
          <cell r="D40" t="str">
            <v>Long</v>
          </cell>
          <cell r="E40">
            <v>4</v>
          </cell>
          <cell r="F40" t="str">
            <v>Gentle, Quiet, Shy, Playful</v>
          </cell>
          <cell r="G40">
            <v>500</v>
          </cell>
        </row>
        <row r="41">
          <cell r="A41" t="str">
            <v>Norwegian Forest Cat</v>
          </cell>
          <cell r="C41" t="str">
            <v>Non Lap</v>
          </cell>
          <cell r="D41" t="str">
            <v>Long</v>
          </cell>
          <cell r="E41">
            <v>6</v>
          </cell>
          <cell r="F41" t="str">
            <v>Sweet, Active, Intelligent, Social, Playful, Lively, Curious</v>
          </cell>
          <cell r="G41">
            <v>1000</v>
          </cell>
          <cell r="H41">
            <v>9</v>
          </cell>
          <cell r="I41">
            <v>14</v>
          </cell>
        </row>
        <row r="42">
          <cell r="A42" t="str">
            <v>Ocicat</v>
          </cell>
          <cell r="C42" t="str">
            <v>Non Lap</v>
          </cell>
          <cell r="D42" t="str">
            <v>Short</v>
          </cell>
          <cell r="E42">
            <v>6</v>
          </cell>
          <cell r="F42" t="str">
            <v>Active, Agile, Curious, Demanding, Friendly, Gentle, Lively, Playful, Social</v>
          </cell>
          <cell r="G42">
            <v>850</v>
          </cell>
          <cell r="I42">
            <v>21</v>
          </cell>
        </row>
        <row r="43">
          <cell r="A43" t="str">
            <v>Oriental Long Hair</v>
          </cell>
          <cell r="C43" t="str">
            <v>Lap</v>
          </cell>
          <cell r="D43" t="str">
            <v>Long</v>
          </cell>
          <cell r="E43">
            <v>4</v>
          </cell>
          <cell r="F43" t="str">
            <v>Energetic, Affectionate, Intelligent, Social, Playful, Curious</v>
          </cell>
          <cell r="G43">
            <v>1150</v>
          </cell>
          <cell r="I43">
            <v>13</v>
          </cell>
        </row>
        <row r="44">
          <cell r="A44" t="str">
            <v>Oriental Short Hair</v>
          </cell>
          <cell r="C44" t="str">
            <v>Lap</v>
          </cell>
          <cell r="D44" t="str">
            <v>Short</v>
          </cell>
          <cell r="E44">
            <v>4</v>
          </cell>
          <cell r="F44" t="str">
            <v>Energetic, Affectionate, Intelligent, Social, Playful, Curious</v>
          </cell>
          <cell r="G44">
            <v>1150</v>
          </cell>
          <cell r="I44">
            <v>13</v>
          </cell>
        </row>
        <row r="45">
          <cell r="A45" t="str">
            <v>Oriental Tabby</v>
          </cell>
          <cell r="C45" t="str">
            <v>Lap</v>
          </cell>
          <cell r="D45" t="str">
            <v>Medium</v>
          </cell>
          <cell r="E45">
            <v>4</v>
          </cell>
          <cell r="F45" t="str">
            <v>Energetic, Affectionate, Intelligent, Social, Playful, Curious</v>
          </cell>
          <cell r="G45">
            <v>1150</v>
          </cell>
          <cell r="I45">
            <v>13</v>
          </cell>
        </row>
        <row r="46">
          <cell r="A46" t="str">
            <v>Persian</v>
          </cell>
          <cell r="C46" t="str">
            <v>Lap</v>
          </cell>
          <cell r="D46" t="str">
            <v>Long</v>
          </cell>
          <cell r="E46">
            <v>6</v>
          </cell>
          <cell r="F46" t="str">
            <v>Affectionate, Loyal, Sedate, Quiet</v>
          </cell>
          <cell r="G46">
            <v>1250</v>
          </cell>
          <cell r="H46">
            <v>3</v>
          </cell>
          <cell r="I46">
            <v>2</v>
          </cell>
        </row>
        <row r="47">
          <cell r="A47" t="str">
            <v>Pixie-Bob</v>
          </cell>
          <cell r="C47" t="str">
            <v>Lap</v>
          </cell>
          <cell r="D47" t="str">
            <v>Medium</v>
          </cell>
          <cell r="E47">
            <v>6</v>
          </cell>
          <cell r="F47" t="str">
            <v>Affectionate, Social, Intelligent, Loyal</v>
          </cell>
          <cell r="G47">
            <v>700</v>
          </cell>
        </row>
        <row r="48">
          <cell r="A48" t="str">
            <v>Ragamuffin</v>
          </cell>
          <cell r="C48" t="str">
            <v>Lap</v>
          </cell>
          <cell r="D48" t="str">
            <v>Medium</v>
          </cell>
          <cell r="E48">
            <v>7</v>
          </cell>
          <cell r="F48" t="str">
            <v>Affectionate, Friendly, Gentle, Calm</v>
          </cell>
          <cell r="G48">
            <v>1000</v>
          </cell>
          <cell r="I48">
            <v>32</v>
          </cell>
        </row>
        <row r="49">
          <cell r="A49" t="str">
            <v>Ragdoll</v>
          </cell>
          <cell r="C49" t="str">
            <v>Lap</v>
          </cell>
          <cell r="D49" t="str">
            <v>Long</v>
          </cell>
          <cell r="E49">
            <v>7</v>
          </cell>
          <cell r="F49" t="str">
            <v>Affectioante, Friendly, Gentle, Quiet, Easygoing</v>
          </cell>
          <cell r="G49">
            <v>1000</v>
          </cell>
          <cell r="H49">
            <v>7</v>
          </cell>
          <cell r="I49">
            <v>4</v>
          </cell>
        </row>
        <row r="50">
          <cell r="A50" t="str">
            <v>Russian Blue</v>
          </cell>
          <cell r="C50" t="str">
            <v>Lap</v>
          </cell>
          <cell r="D50" t="str">
            <v>Short</v>
          </cell>
          <cell r="E50">
            <v>4</v>
          </cell>
          <cell r="F50" t="str">
            <v>Active, Dependent, Easygoing, Gentle, Intelligent, Loyal, Playful, Quiet</v>
          </cell>
          <cell r="G50">
            <v>700</v>
          </cell>
          <cell r="I50">
            <v>19</v>
          </cell>
        </row>
        <row r="51">
          <cell r="A51" t="str">
            <v>Scottish Fold</v>
          </cell>
          <cell r="C51" t="str">
            <v>Non Lap</v>
          </cell>
          <cell r="D51" t="str">
            <v>Short</v>
          </cell>
          <cell r="E51">
            <v>4</v>
          </cell>
          <cell r="F51" t="str">
            <v>Affectionate, Intelligent, Loyal, Playful, Social, Sweet, Loving</v>
          </cell>
          <cell r="G51">
            <v>1250</v>
          </cell>
          <cell r="H51">
            <v>10</v>
          </cell>
          <cell r="I51">
            <v>10</v>
          </cell>
        </row>
        <row r="52">
          <cell r="A52" t="str">
            <v>Selkirk Rex</v>
          </cell>
          <cell r="C52" t="str">
            <v>Lap</v>
          </cell>
          <cell r="D52" t="str">
            <v>Long</v>
          </cell>
          <cell r="E52">
            <v>6</v>
          </cell>
          <cell r="F52" t="str">
            <v>Active, Affectionate, Dependent, Gentle, Patient, Playful, Quiet, Social</v>
          </cell>
          <cell r="G52">
            <v>1150</v>
          </cell>
          <cell r="I52">
            <v>25</v>
          </cell>
        </row>
        <row r="53">
          <cell r="A53" t="str">
            <v>Siamese</v>
          </cell>
          <cell r="C53" t="str">
            <v>Lap</v>
          </cell>
          <cell r="D53" t="str">
            <v>Short</v>
          </cell>
          <cell r="E53">
            <v>6</v>
          </cell>
          <cell r="F53" t="str">
            <v>Active, Agile, Clever, Sociable, Loving, Energetic</v>
          </cell>
          <cell r="G53">
            <v>500</v>
          </cell>
          <cell r="I53">
            <v>9</v>
          </cell>
        </row>
        <row r="54">
          <cell r="A54" t="str">
            <v>Siberian</v>
          </cell>
          <cell r="C54" t="str">
            <v>Non Lap</v>
          </cell>
          <cell r="D54" t="str">
            <v>Long</v>
          </cell>
          <cell r="E54">
            <v>6</v>
          </cell>
          <cell r="F54" t="str">
            <v>Intelligent, Loyal, Quiet, Active</v>
          </cell>
          <cell r="G54">
            <v>1000</v>
          </cell>
        </row>
        <row r="55">
          <cell r="A55" t="str">
            <v>Silver</v>
          </cell>
          <cell r="C55" t="str">
            <v>Generic</v>
          </cell>
          <cell r="D55" t="str">
            <v>Short</v>
          </cell>
          <cell r="E55">
            <v>6</v>
          </cell>
          <cell r="F55" t="str">
            <v>Active, Curious, Easygoing, Playful, Calm</v>
          </cell>
          <cell r="G55">
            <v>100</v>
          </cell>
        </row>
        <row r="56">
          <cell r="A56" t="str">
            <v>Singapura</v>
          </cell>
          <cell r="C56" t="str">
            <v>Lap</v>
          </cell>
          <cell r="D56" t="str">
            <v>Short</v>
          </cell>
          <cell r="E56">
            <v>3</v>
          </cell>
          <cell r="F56" t="str">
            <v>Affectionate, Curious, Easygoing, Intelligent, Interactive, Lively, Loyal</v>
          </cell>
          <cell r="G56">
            <v>1150</v>
          </cell>
          <cell r="I56">
            <v>22</v>
          </cell>
        </row>
        <row r="57">
          <cell r="A57" t="str">
            <v>Snowshoe</v>
          </cell>
          <cell r="C57" t="str">
            <v>Lap</v>
          </cell>
          <cell r="D57" t="str">
            <v>Short</v>
          </cell>
          <cell r="E57">
            <v>5</v>
          </cell>
          <cell r="F57" t="str">
            <v>Affectionate, Social, Intelligent, Sweet-tempered</v>
          </cell>
          <cell r="G57">
            <v>800</v>
          </cell>
        </row>
        <row r="58">
          <cell r="A58" t="str">
            <v>Somali</v>
          </cell>
          <cell r="C58" t="str">
            <v>Non Lap</v>
          </cell>
          <cell r="D58" t="str">
            <v>Long</v>
          </cell>
          <cell r="E58">
            <v>5</v>
          </cell>
          <cell r="F58" t="str">
            <v>Mischevious, Tenacious, Intelligent, Affectionate, Gentle, Interactive, Loyal</v>
          </cell>
          <cell r="G58">
            <v>1250</v>
          </cell>
          <cell r="I58">
            <v>28</v>
          </cell>
        </row>
        <row r="59">
          <cell r="A59" t="str">
            <v>Sphynx (hairless cat)</v>
          </cell>
          <cell r="B59" t="str">
            <v>Sphynx</v>
          </cell>
          <cell r="C59" t="str">
            <v>Lap</v>
          </cell>
          <cell r="D59" t="str">
            <v>Bald</v>
          </cell>
          <cell r="E59">
            <v>5</v>
          </cell>
          <cell r="F59" t="str">
            <v>Loyal, Inquisitive, Friendly, Quiet, Gentle</v>
          </cell>
          <cell r="G59">
            <v>1450</v>
          </cell>
          <cell r="I59">
            <v>8</v>
          </cell>
        </row>
        <row r="60">
          <cell r="A60" t="str">
            <v>Tabby</v>
          </cell>
          <cell r="C60" t="str">
            <v>Generic</v>
          </cell>
          <cell r="D60" t="str">
            <v>Short</v>
          </cell>
          <cell r="E60">
            <v>6</v>
          </cell>
          <cell r="F60" t="str">
            <v>Active, Curious, Easygoing, Playful, Calm</v>
          </cell>
          <cell r="G60">
            <v>100</v>
          </cell>
        </row>
        <row r="61">
          <cell r="A61" t="str">
            <v>Tiger</v>
          </cell>
          <cell r="C61" t="str">
            <v>Lap</v>
          </cell>
          <cell r="D61" t="str">
            <v>Short</v>
          </cell>
          <cell r="E61">
            <v>6</v>
          </cell>
          <cell r="F61" t="str">
            <v>Playful, Social, Intelligent</v>
          </cell>
          <cell r="G61">
            <v>900</v>
          </cell>
        </row>
        <row r="62">
          <cell r="A62" t="str">
            <v>Tonkinese</v>
          </cell>
          <cell r="C62" t="str">
            <v>Lap</v>
          </cell>
          <cell r="D62" t="str">
            <v>Medium</v>
          </cell>
          <cell r="E62">
            <v>5</v>
          </cell>
          <cell r="F62" t="str">
            <v>Curious, Intelligent, Social, Lively, Outgoing, Playful, Affectionate</v>
          </cell>
          <cell r="G62">
            <v>800</v>
          </cell>
          <cell r="I62">
            <v>18</v>
          </cell>
        </row>
        <row r="63">
          <cell r="A63" t="str">
            <v>Torbie</v>
          </cell>
          <cell r="C63" t="str">
            <v>Generic</v>
          </cell>
          <cell r="D63" t="str">
            <v>Short</v>
          </cell>
          <cell r="E63">
            <v>6</v>
          </cell>
          <cell r="F63" t="str">
            <v>Active, Curious, Easygoing, Playful, Calm</v>
          </cell>
          <cell r="G63">
            <v>100</v>
          </cell>
        </row>
        <row r="64">
          <cell r="A64" t="str">
            <v>Tortoiseshell</v>
          </cell>
          <cell r="C64" t="str">
            <v>Generic</v>
          </cell>
          <cell r="D64" t="str">
            <v>Short</v>
          </cell>
          <cell r="E64">
            <v>6</v>
          </cell>
          <cell r="F64" t="str">
            <v>Active, Curious, Easygoing, Playful, Calm</v>
          </cell>
          <cell r="G64">
            <v>100</v>
          </cell>
        </row>
        <row r="65">
          <cell r="A65" t="str">
            <v>Turkish Angora</v>
          </cell>
          <cell r="C65" t="str">
            <v>Non Lap</v>
          </cell>
          <cell r="D65" t="str">
            <v>Long</v>
          </cell>
          <cell r="E65">
            <v>4</v>
          </cell>
          <cell r="F65" t="str">
            <v>Affectionate, Agile, Clever, Gentle, Intelligent, Playful, Social</v>
          </cell>
          <cell r="G65">
            <v>700</v>
          </cell>
          <cell r="I65">
            <v>29</v>
          </cell>
        </row>
        <row r="66">
          <cell r="A66" t="str">
            <v>Turkish Van</v>
          </cell>
          <cell r="C66" t="str">
            <v>Non Lap</v>
          </cell>
          <cell r="D66" t="str">
            <v>Long</v>
          </cell>
          <cell r="E66">
            <v>6</v>
          </cell>
          <cell r="F66" t="str">
            <v>Agile, Intelligent, Loyal, Playful, Energetic</v>
          </cell>
          <cell r="G66">
            <v>500</v>
          </cell>
          <cell r="I66">
            <v>37</v>
          </cell>
        </row>
        <row r="67">
          <cell r="A67" t="str">
            <v>Tuxedo</v>
          </cell>
          <cell r="C67" t="str">
            <v>Generic</v>
          </cell>
          <cell r="D67" t="str">
            <v>Short</v>
          </cell>
          <cell r="E67">
            <v>6</v>
          </cell>
          <cell r="F67" t="str">
            <v>Active, Curious, Easygoing, Playful, Calm</v>
          </cell>
          <cell r="G67">
            <v>100</v>
          </cell>
        </row>
        <row r="68">
          <cell r="A68" t="str">
            <v>Mixed Breed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et-dog_breed_characteristi"/>
      <sheetName val="Dataset-cat_breed_characteristi"/>
    </sheetNames>
    <sheetDataSet>
      <sheetData sheetId="0">
        <row r="1">
          <cell r="A1" t="str">
            <v>BreedName</v>
          </cell>
          <cell r="B1" t="str">
            <v>AltBreedName</v>
          </cell>
          <cell r="C1" t="str">
            <v>Group1</v>
          </cell>
          <cell r="D1" t="str">
            <v>Group2</v>
          </cell>
          <cell r="E1" t="str">
            <v>MaleWtKg</v>
          </cell>
          <cell r="F1" t="str">
            <v>Temperment</v>
          </cell>
          <cell r="G1" t="str">
            <v>AvgPupPrice</v>
          </cell>
          <cell r="H1" t="str">
            <v>Intelligence</v>
          </cell>
          <cell r="I1" t="str">
            <v>Watchdog</v>
          </cell>
          <cell r="J1" t="str">
            <v>MalaysiaGuardedDog</v>
          </cell>
          <cell r="K1" t="str">
            <v>MalaysiaProhibitedDog</v>
          </cell>
          <cell r="L1" t="str">
            <v>MalaysiaPopularity</v>
          </cell>
          <cell r="M1" t="str">
            <v>PopularityUS2017</v>
          </cell>
        </row>
        <row r="2">
          <cell r="A2" t="str">
            <v>Affenpinscher</v>
          </cell>
          <cell r="C2" t="str">
            <v>Toy</v>
          </cell>
          <cell r="D2" t="str">
            <v>Companion</v>
          </cell>
          <cell r="E2">
            <v>4</v>
          </cell>
          <cell r="F2" t="str">
            <v>Active, Adventurous, Curious, Fun-loving, Playful, Stubborn</v>
          </cell>
          <cell r="G2">
            <v>1000</v>
          </cell>
          <cell r="H2">
            <v>37</v>
          </cell>
          <cell r="I2">
            <v>1</v>
          </cell>
          <cell r="M2">
            <v>147</v>
          </cell>
        </row>
        <row r="3">
          <cell r="A3" t="str">
            <v>Afghan Hound</v>
          </cell>
          <cell r="C3" t="str">
            <v>Sporting</v>
          </cell>
          <cell r="D3" t="str">
            <v>Sight</v>
          </cell>
          <cell r="E3">
            <v>28</v>
          </cell>
          <cell r="F3" t="str">
            <v>Aloof, Clownish, Dignified, Happy, Independent</v>
          </cell>
          <cell r="G3">
            <v>2250</v>
          </cell>
          <cell r="H3">
            <v>79</v>
          </cell>
          <cell r="I3">
            <v>1</v>
          </cell>
          <cell r="M3">
            <v>93</v>
          </cell>
        </row>
        <row r="4">
          <cell r="A4" t="str">
            <v>African Hunting Dog</v>
          </cell>
          <cell r="E4">
            <v>23</v>
          </cell>
          <cell r="F4" t="str">
            <v>Wild</v>
          </cell>
        </row>
        <row r="5">
          <cell r="A5" t="str">
            <v>Airedale Terrier</v>
          </cell>
          <cell r="B5" t="str">
            <v>Airedale</v>
          </cell>
          <cell r="C5" t="str">
            <v>Terrier</v>
          </cell>
          <cell r="D5" t="str">
            <v>Terrier</v>
          </cell>
          <cell r="E5">
            <v>26</v>
          </cell>
          <cell r="F5" t="str">
            <v>Alert, Confident, Courageous, Friendly, Intelligent, Outgoing</v>
          </cell>
          <cell r="G5">
            <v>700</v>
          </cell>
          <cell r="H5">
            <v>29</v>
          </cell>
          <cell r="I5">
            <v>4</v>
          </cell>
          <cell r="M5">
            <v>55</v>
          </cell>
        </row>
        <row r="6">
          <cell r="A6" t="str">
            <v>Akbash</v>
          </cell>
          <cell r="C6" t="str">
            <v>Working</v>
          </cell>
          <cell r="D6" t="str">
            <v>Guardian</v>
          </cell>
          <cell r="E6">
            <v>53</v>
          </cell>
          <cell r="F6" t="str">
            <v>Affectionate, Alert, Courageous, Independent, Intelligent, Loyal</v>
          </cell>
          <cell r="G6">
            <v>600</v>
          </cell>
          <cell r="I6">
            <v>5</v>
          </cell>
        </row>
        <row r="7">
          <cell r="A7" t="str">
            <v>Akita</v>
          </cell>
          <cell r="C7" t="str">
            <v>Working</v>
          </cell>
          <cell r="D7" t="str">
            <v>Herding</v>
          </cell>
          <cell r="E7">
            <v>44</v>
          </cell>
          <cell r="F7" t="str">
            <v>Alert, Courageous, Dignified, Docile, Friendly, Intelligent, Responsive</v>
          </cell>
          <cell r="G7">
            <v>1000</v>
          </cell>
          <cell r="H7">
            <v>54</v>
          </cell>
          <cell r="I7">
            <v>5</v>
          </cell>
          <cell r="K7">
            <v>1</v>
          </cell>
          <cell r="M7">
            <v>47</v>
          </cell>
        </row>
        <row r="8">
          <cell r="A8" t="str">
            <v>Alaskan Malamute</v>
          </cell>
          <cell r="B8" t="str">
            <v>Malamute</v>
          </cell>
          <cell r="C8" t="str">
            <v>Working</v>
          </cell>
          <cell r="D8" t="str">
            <v>Northern</v>
          </cell>
          <cell r="E8">
            <v>40</v>
          </cell>
          <cell r="F8" t="str">
            <v>Affectionate, Devoted, Dignified, Friendly, Loyal, Playful</v>
          </cell>
          <cell r="G8">
            <v>1350</v>
          </cell>
          <cell r="H8">
            <v>50</v>
          </cell>
          <cell r="I8">
            <v>5</v>
          </cell>
          <cell r="M8">
            <v>59</v>
          </cell>
        </row>
        <row r="9">
          <cell r="A9" t="str">
            <v>American Bulldog</v>
          </cell>
          <cell r="C9" t="str">
            <v>Working</v>
          </cell>
          <cell r="D9" t="str">
            <v>Guardian</v>
          </cell>
          <cell r="E9">
            <v>38</v>
          </cell>
          <cell r="F9" t="str">
            <v>Affectionate, Alert, Courageous, Energetic, Gentle, Loving, Out-going, Social</v>
          </cell>
          <cell r="G9">
            <v>800</v>
          </cell>
          <cell r="I9">
            <v>6</v>
          </cell>
          <cell r="K9">
            <v>1</v>
          </cell>
        </row>
        <row r="10">
          <cell r="A10" t="str">
            <v>American Eskimo Dog</v>
          </cell>
          <cell r="C10" t="str">
            <v>Non Sporting</v>
          </cell>
          <cell r="D10" t="str">
            <v>Northern</v>
          </cell>
          <cell r="E10">
            <v>8</v>
          </cell>
          <cell r="F10" t="str">
            <v>Alert, Energetic, Friendly, Independent, Intelligent, Protective</v>
          </cell>
          <cell r="G10">
            <v>700</v>
          </cell>
          <cell r="I10">
            <v>4</v>
          </cell>
          <cell r="M10">
            <v>118</v>
          </cell>
        </row>
        <row r="11">
          <cell r="A11" t="str">
            <v>American Hairless Terrier</v>
          </cell>
          <cell r="C11" t="str">
            <v>Terrier</v>
          </cell>
          <cell r="D11" t="str">
            <v>Terrier</v>
          </cell>
          <cell r="E11">
            <v>5</v>
          </cell>
          <cell r="F11" t="str">
            <v>Alert, Lively, Loving, Intelligent, Inquisitive, Playful</v>
          </cell>
          <cell r="G11">
            <v>400</v>
          </cell>
          <cell r="I11">
            <v>3</v>
          </cell>
          <cell r="M11">
            <v>126</v>
          </cell>
        </row>
        <row r="12">
          <cell r="A12" t="str">
            <v>American Staffordshire Terrier</v>
          </cell>
          <cell r="C12" t="str">
            <v>Terrier</v>
          </cell>
          <cell r="D12" t="str">
            <v>Terrier</v>
          </cell>
          <cell r="E12">
            <v>28</v>
          </cell>
          <cell r="F12" t="str">
            <v>Attentive, Courageous, Devoted, Friendly, Loyal, Tenacious, Intelligent</v>
          </cell>
          <cell r="G12">
            <v>900</v>
          </cell>
          <cell r="H12">
            <v>34</v>
          </cell>
          <cell r="I12">
            <v>3</v>
          </cell>
          <cell r="K12">
            <v>1</v>
          </cell>
          <cell r="M12">
            <v>83</v>
          </cell>
        </row>
        <row r="13">
          <cell r="A13" t="str">
            <v>American Water Spaniel</v>
          </cell>
          <cell r="C13" t="str">
            <v>Sporting</v>
          </cell>
          <cell r="D13" t="str">
            <v>Gun</v>
          </cell>
          <cell r="E13">
            <v>16</v>
          </cell>
          <cell r="F13" t="str">
            <v>Energetic, Friendly, Intelligent, Obedient, Protective, Trainable</v>
          </cell>
          <cell r="G13">
            <v>900</v>
          </cell>
          <cell r="H13">
            <v>44</v>
          </cell>
          <cell r="I13">
            <v>4</v>
          </cell>
          <cell r="M13">
            <v>167</v>
          </cell>
        </row>
        <row r="14">
          <cell r="A14" t="str">
            <v>Anatolian Shepherd</v>
          </cell>
          <cell r="C14" t="str">
            <v>Working</v>
          </cell>
          <cell r="D14" t="str">
            <v>Guardian</v>
          </cell>
          <cell r="E14">
            <v>52</v>
          </cell>
          <cell r="F14" t="str">
            <v>Bold, Confident, Independent, Intelligent, Proud, Steady</v>
          </cell>
          <cell r="G14">
            <v>800</v>
          </cell>
          <cell r="I14">
            <v>6</v>
          </cell>
          <cell r="M14">
            <v>86</v>
          </cell>
        </row>
        <row r="15">
          <cell r="A15" t="str">
            <v>Appenzell Mountain Dog</v>
          </cell>
          <cell r="B15" t="str">
            <v>Appenzeller</v>
          </cell>
          <cell r="C15" t="str">
            <v>Working</v>
          </cell>
          <cell r="D15" t="str">
            <v>Guardian</v>
          </cell>
          <cell r="E15">
            <v>27</v>
          </cell>
          <cell r="F15" t="str">
            <v>Energetic, Fearless, Lively, Reliable, Self-assured, Social</v>
          </cell>
          <cell r="G15">
            <v>700</v>
          </cell>
          <cell r="I15">
            <v>5</v>
          </cell>
        </row>
        <row r="16">
          <cell r="A16" t="str">
            <v>Australian Cattle Dog/Blue Heeler</v>
          </cell>
          <cell r="C16" t="str">
            <v>Herding</v>
          </cell>
          <cell r="D16" t="str">
            <v>Herding</v>
          </cell>
          <cell r="E16">
            <v>21</v>
          </cell>
          <cell r="F16" t="str">
            <v>Aggressive, Alert, Energetic, Intelligent, Loyal, Protective, Responsive</v>
          </cell>
          <cell r="G16">
            <v>600</v>
          </cell>
          <cell r="H16">
            <v>10</v>
          </cell>
          <cell r="I16">
            <v>6</v>
          </cell>
          <cell r="M16">
            <v>56</v>
          </cell>
        </row>
        <row r="17">
          <cell r="A17" t="str">
            <v>Australian Kelpie</v>
          </cell>
          <cell r="B17" t="str">
            <v>Kelpie</v>
          </cell>
          <cell r="C17" t="str">
            <v>Working</v>
          </cell>
          <cell r="D17" t="str">
            <v>Herding</v>
          </cell>
          <cell r="E17">
            <v>16</v>
          </cell>
          <cell r="F17" t="str">
            <v>Alert, Eager, Energetic, Friendly, Intelligent, Loyal, Robust</v>
          </cell>
          <cell r="G17">
            <v>600</v>
          </cell>
          <cell r="I17">
            <v>5</v>
          </cell>
        </row>
        <row r="18">
          <cell r="A18" t="str">
            <v>Australian Shepherd</v>
          </cell>
          <cell r="C18" t="str">
            <v>Terrier</v>
          </cell>
          <cell r="D18" t="str">
            <v>Terrier</v>
          </cell>
          <cell r="E18">
            <v>27</v>
          </cell>
          <cell r="F18" t="str">
            <v>Active, Affectionate, Friendly, Good-natured, Intelligent, Protective, Loving</v>
          </cell>
          <cell r="G18">
            <v>700</v>
          </cell>
          <cell r="H18">
            <v>42</v>
          </cell>
          <cell r="I18">
            <v>5</v>
          </cell>
          <cell r="M18">
            <v>17</v>
          </cell>
        </row>
        <row r="19">
          <cell r="A19" t="str">
            <v>Australian Terrier</v>
          </cell>
          <cell r="C19" t="str">
            <v>Terrier</v>
          </cell>
          <cell r="D19" t="str">
            <v>Terrier</v>
          </cell>
          <cell r="E19">
            <v>5</v>
          </cell>
          <cell r="F19" t="str">
            <v>Alert, Compassionate, Courageous, Even Tempered, Loyal, Spirited, Intelligent</v>
          </cell>
          <cell r="G19">
            <v>1250</v>
          </cell>
          <cell r="H19">
            <v>34</v>
          </cell>
          <cell r="I19">
            <v>3</v>
          </cell>
          <cell r="M19">
            <v>137</v>
          </cell>
        </row>
        <row r="20">
          <cell r="A20" t="str">
            <v>Basenji</v>
          </cell>
          <cell r="C20" t="str">
            <v>Hound</v>
          </cell>
          <cell r="D20" t="str">
            <v>Sight</v>
          </cell>
          <cell r="E20">
            <v>11</v>
          </cell>
          <cell r="F20" t="str">
            <v>Affectionate, Alert, Curious, Energetic, Playful, Intelligent</v>
          </cell>
          <cell r="G20">
            <v>1100</v>
          </cell>
          <cell r="H20">
            <v>78</v>
          </cell>
          <cell r="I20">
            <v>5</v>
          </cell>
          <cell r="M20">
            <v>84</v>
          </cell>
        </row>
        <row r="21">
          <cell r="A21" t="str">
            <v>Basset Hound</v>
          </cell>
          <cell r="B21" t="str">
            <v>Basset</v>
          </cell>
          <cell r="C21" t="str">
            <v>Hound</v>
          </cell>
          <cell r="D21" t="str">
            <v>Scenthound</v>
          </cell>
          <cell r="E21">
            <v>26</v>
          </cell>
          <cell r="F21" t="str">
            <v>Affectionate, Devoted, Friendly, Gentle, Sweet-tempered, Tenacious</v>
          </cell>
          <cell r="G21">
            <v>400</v>
          </cell>
          <cell r="H21">
            <v>71</v>
          </cell>
          <cell r="I21">
            <v>1</v>
          </cell>
          <cell r="M21">
            <v>39</v>
          </cell>
        </row>
        <row r="22">
          <cell r="A22" t="str">
            <v>Beagle</v>
          </cell>
          <cell r="C22" t="str">
            <v>Hound</v>
          </cell>
          <cell r="D22" t="str">
            <v>Scenthound</v>
          </cell>
          <cell r="E22">
            <v>11</v>
          </cell>
          <cell r="F22" t="str">
            <v>Friendly, Gentle, Independent, Intelligent, Lively, Loving, Sweet</v>
          </cell>
          <cell r="G22">
            <v>650</v>
          </cell>
          <cell r="H22">
            <v>72</v>
          </cell>
          <cell r="I22">
            <v>1</v>
          </cell>
          <cell r="M22">
            <v>6</v>
          </cell>
        </row>
        <row r="23">
          <cell r="A23" t="str">
            <v>Bearded Collie</v>
          </cell>
          <cell r="C23" t="str">
            <v>Herding</v>
          </cell>
          <cell r="D23" t="str">
            <v>Herding</v>
          </cell>
          <cell r="E23">
            <v>23</v>
          </cell>
          <cell r="F23" t="str">
            <v>Active, Alert, Hardy, Intelligent, Lively, Self-confident</v>
          </cell>
          <cell r="G23">
            <v>1300</v>
          </cell>
          <cell r="H23">
            <v>34</v>
          </cell>
          <cell r="I23">
            <v>4</v>
          </cell>
          <cell r="M23">
            <v>125</v>
          </cell>
        </row>
        <row r="24">
          <cell r="A24" t="str">
            <v>Beauceron</v>
          </cell>
          <cell r="C24" t="str">
            <v>Herding</v>
          </cell>
          <cell r="D24" t="str">
            <v>Herding</v>
          </cell>
          <cell r="E24">
            <v>50</v>
          </cell>
          <cell r="F24" t="str">
            <v>Courageous, Obedient, Loyal, Protective, Loving</v>
          </cell>
          <cell r="G24">
            <v>1350</v>
          </cell>
          <cell r="I24">
            <v>5</v>
          </cell>
          <cell r="M24">
            <v>141</v>
          </cell>
        </row>
        <row r="25">
          <cell r="A25" t="str">
            <v>Bedlington Terrier</v>
          </cell>
          <cell r="C25" t="str">
            <v>Terrier</v>
          </cell>
          <cell r="D25" t="str">
            <v>Terrier</v>
          </cell>
          <cell r="E25">
            <v>9</v>
          </cell>
          <cell r="F25" t="str">
            <v>Affectionate, Devoted, Energetic, Loyal, Playful, Reliable, Intelligent</v>
          </cell>
          <cell r="G25">
            <v>1900</v>
          </cell>
          <cell r="H25">
            <v>40</v>
          </cell>
          <cell r="I25">
            <v>3</v>
          </cell>
          <cell r="M25">
            <v>151</v>
          </cell>
        </row>
        <row r="26">
          <cell r="A26" t="str">
            <v>Belgian Shepherd Dog Sheepdog</v>
          </cell>
          <cell r="B26" t="str">
            <v>Groenendael</v>
          </cell>
          <cell r="C26" t="str">
            <v>Herding</v>
          </cell>
          <cell r="D26" t="str">
            <v>Herding</v>
          </cell>
          <cell r="E26">
            <v>32</v>
          </cell>
          <cell r="F26" t="str">
            <v>Active, Alert, Confident, Friendly, Hard-working, Protective, Stubborn, Watchful, Intelligent</v>
          </cell>
          <cell r="G26">
            <v>1300</v>
          </cell>
          <cell r="H26">
            <v>15</v>
          </cell>
          <cell r="I26">
            <v>6</v>
          </cell>
          <cell r="M26">
            <v>120</v>
          </cell>
        </row>
        <row r="27">
          <cell r="A27" t="str">
            <v>Belgian Shepherd Laekenois</v>
          </cell>
          <cell r="C27" t="str">
            <v>Herding</v>
          </cell>
          <cell r="D27" t="str">
            <v>Herding</v>
          </cell>
          <cell r="E27">
            <v>28</v>
          </cell>
          <cell r="F27" t="str">
            <v>Active, Alert, Energetic, Lively, Protective, Watchful</v>
          </cell>
          <cell r="G27">
            <v>650</v>
          </cell>
          <cell r="I27">
            <v>5</v>
          </cell>
        </row>
        <row r="28">
          <cell r="A28" t="str">
            <v>Belgian Shepherd Malinois</v>
          </cell>
          <cell r="B28" t="str">
            <v>Malinois</v>
          </cell>
          <cell r="C28" t="str">
            <v>Herding</v>
          </cell>
          <cell r="D28" t="str">
            <v>Herding</v>
          </cell>
          <cell r="E28">
            <v>27</v>
          </cell>
          <cell r="F28" t="str">
            <v>Active, Alert, Confident, Friendly, Hard-working, Protective, Stubborn, Watchful</v>
          </cell>
          <cell r="G28">
            <v>700</v>
          </cell>
          <cell r="I28">
            <v>6</v>
          </cell>
          <cell r="M28">
            <v>44</v>
          </cell>
        </row>
        <row r="29">
          <cell r="A29" t="str">
            <v>Belgian Shepherd Tervuren</v>
          </cell>
          <cell r="C29" t="str">
            <v>Herding</v>
          </cell>
          <cell r="D29" t="str">
            <v>Herding</v>
          </cell>
          <cell r="E29">
            <v>34</v>
          </cell>
          <cell r="F29" t="str">
            <v>Alert, Attentive, Energetic, Intelligent, Loyal, Protective</v>
          </cell>
          <cell r="G29">
            <v>1350</v>
          </cell>
          <cell r="H29">
            <v>14</v>
          </cell>
          <cell r="I29">
            <v>6</v>
          </cell>
          <cell r="M29">
            <v>103</v>
          </cell>
        </row>
        <row r="30">
          <cell r="A30" t="str">
            <v>Bernese Mountain Dog</v>
          </cell>
          <cell r="C30" t="str">
            <v>Working</v>
          </cell>
          <cell r="D30" t="str">
            <v>Guardian</v>
          </cell>
          <cell r="E30">
            <v>44</v>
          </cell>
          <cell r="F30" t="str">
            <v>Affectionate, Faithful, Intelligent, Loyal</v>
          </cell>
          <cell r="G30">
            <v>900</v>
          </cell>
          <cell r="H30">
            <v>22</v>
          </cell>
          <cell r="I30">
            <v>5</v>
          </cell>
          <cell r="M30">
            <v>25</v>
          </cell>
        </row>
        <row r="31">
          <cell r="A31" t="str">
            <v>Bichon Frise</v>
          </cell>
          <cell r="C31" t="str">
            <v>Non Sporting</v>
          </cell>
          <cell r="D31" t="str">
            <v>Companion</v>
          </cell>
          <cell r="E31">
            <v>4</v>
          </cell>
          <cell r="F31" t="str">
            <v>Affectionate, Cheerful, Feisty, Gentle, Playful, Intelligent, Sensitive</v>
          </cell>
          <cell r="G31">
            <v>850</v>
          </cell>
          <cell r="H31">
            <v>45</v>
          </cell>
          <cell r="I31">
            <v>3</v>
          </cell>
          <cell r="M31">
            <v>46</v>
          </cell>
        </row>
        <row r="32">
          <cell r="A32" t="str">
            <v>Black and Tan Coonhound</v>
          </cell>
          <cell r="C32" t="str">
            <v>Hound</v>
          </cell>
          <cell r="D32" t="str">
            <v>Scenthound</v>
          </cell>
          <cell r="E32">
            <v>55</v>
          </cell>
          <cell r="F32" t="str">
            <v>Adaptable, Easygoing, Even-tempered, Gentle, Lovable, Trusting, Intelligent</v>
          </cell>
          <cell r="G32">
            <v>350</v>
          </cell>
          <cell r="H32">
            <v>44</v>
          </cell>
          <cell r="I32">
            <v>3</v>
          </cell>
          <cell r="M32">
            <v>130</v>
          </cell>
        </row>
        <row r="33">
          <cell r="A33" t="str">
            <v>Black Labrador Retriever</v>
          </cell>
          <cell r="C33" t="str">
            <v>Sporting</v>
          </cell>
          <cell r="D33" t="str">
            <v>Gun</v>
          </cell>
          <cell r="E33">
            <v>32</v>
          </cell>
          <cell r="F33" t="str">
            <v>Affectionate, Alert, Cheerful, Energetic, Friendly, Gentle, Intelligent, Loving, Loyal, Outgoing, Playful, Responsive, Social</v>
          </cell>
          <cell r="G33">
            <v>1500</v>
          </cell>
          <cell r="H33">
            <v>7</v>
          </cell>
          <cell r="I33">
            <v>3</v>
          </cell>
          <cell r="M33">
            <v>1</v>
          </cell>
        </row>
        <row r="34">
          <cell r="A34" t="str">
            <v>Black Mouth Cur</v>
          </cell>
          <cell r="C34" t="str">
            <v>Hound</v>
          </cell>
          <cell r="D34" t="str">
            <v>Scenthound</v>
          </cell>
          <cell r="E34">
            <v>32</v>
          </cell>
          <cell r="F34" t="str">
            <v>Active, Fearless, Kind, Loyal, Protective, Trainable</v>
          </cell>
          <cell r="G34">
            <v>400</v>
          </cell>
          <cell r="I34">
            <v>3</v>
          </cell>
        </row>
        <row r="35">
          <cell r="A35" t="str">
            <v>Black Russian Terrier</v>
          </cell>
          <cell r="C35" t="str">
            <v>Working</v>
          </cell>
          <cell r="D35" t="str">
            <v>Guardian</v>
          </cell>
          <cell r="E35">
            <v>51</v>
          </cell>
          <cell r="F35" t="str">
            <v>Brave, Confident, Energetic, Hardy, Lively, Stable</v>
          </cell>
          <cell r="G35">
            <v>2150</v>
          </cell>
          <cell r="I35">
            <v>6</v>
          </cell>
          <cell r="M35">
            <v>116</v>
          </cell>
        </row>
        <row r="36">
          <cell r="A36" t="str">
            <v>Bloodhound</v>
          </cell>
          <cell r="C36" t="str">
            <v>Hound</v>
          </cell>
          <cell r="D36" t="str">
            <v>Scenthound</v>
          </cell>
          <cell r="E36">
            <v>46</v>
          </cell>
          <cell r="F36" t="str">
            <v>Affectionate, Even-tempered, Gentle, Stubborn, Independent</v>
          </cell>
          <cell r="G36">
            <v>1000</v>
          </cell>
          <cell r="H36">
            <v>74</v>
          </cell>
          <cell r="I36">
            <v>1</v>
          </cell>
          <cell r="M36">
            <v>50</v>
          </cell>
        </row>
        <row r="37">
          <cell r="A37" t="str">
            <v>Blue Lacy</v>
          </cell>
          <cell r="C37" t="str">
            <v>Sporting</v>
          </cell>
          <cell r="D37" t="str">
            <v>Gun</v>
          </cell>
          <cell r="E37">
            <v>18</v>
          </cell>
          <cell r="F37" t="str">
            <v>Active, Alert, Bold, Devoted, Intelligent, Intense</v>
          </cell>
          <cell r="G37">
            <v>700</v>
          </cell>
          <cell r="I37">
            <v>4</v>
          </cell>
        </row>
        <row r="38">
          <cell r="A38" t="str">
            <v>Bluetick Coonhound</v>
          </cell>
          <cell r="B38" t="str">
            <v>Bluetick</v>
          </cell>
          <cell r="C38" t="str">
            <v>Hound</v>
          </cell>
          <cell r="D38" t="str">
            <v>Scenthound</v>
          </cell>
          <cell r="E38">
            <v>28</v>
          </cell>
          <cell r="F38" t="str">
            <v>Friendly, Active, Gentle</v>
          </cell>
          <cell r="G38">
            <v>550</v>
          </cell>
          <cell r="I38">
            <v>1</v>
          </cell>
          <cell r="M38">
            <v>132</v>
          </cell>
        </row>
        <row r="39">
          <cell r="A39" t="str">
            <v>Boerboel</v>
          </cell>
          <cell r="C39" t="str">
            <v>Working</v>
          </cell>
          <cell r="D39" t="str">
            <v>Guardian</v>
          </cell>
          <cell r="E39">
            <v>80</v>
          </cell>
          <cell r="F39" t="str">
            <v>Confident, Dominant, Intelligent, Obedient, Territorial</v>
          </cell>
          <cell r="G39">
            <v>1750</v>
          </cell>
          <cell r="I39">
            <v>6</v>
          </cell>
          <cell r="M39">
            <v>124</v>
          </cell>
        </row>
        <row r="40">
          <cell r="A40" t="str">
            <v>Bolognese</v>
          </cell>
          <cell r="C40" t="str">
            <v>Working</v>
          </cell>
          <cell r="D40" t="str">
            <v>Companion</v>
          </cell>
          <cell r="E40">
            <v>3</v>
          </cell>
          <cell r="F40" t="str">
            <v>Docile, Enterprising, Loyal, Reserved, Serious</v>
          </cell>
          <cell r="G40">
            <v>1350</v>
          </cell>
          <cell r="I40">
            <v>2</v>
          </cell>
        </row>
        <row r="41">
          <cell r="A41" t="str">
            <v>Border Collie</v>
          </cell>
          <cell r="C41" t="str">
            <v>Herding</v>
          </cell>
          <cell r="D41" t="str">
            <v>Herding</v>
          </cell>
          <cell r="E41">
            <v>17</v>
          </cell>
          <cell r="F41" t="str">
            <v>Intelligent, Energetic, Alert, Responsive, Tenacious, Loyal, Protective</v>
          </cell>
          <cell r="G41">
            <v>700</v>
          </cell>
          <cell r="H41">
            <v>1</v>
          </cell>
          <cell r="I41">
            <v>6</v>
          </cell>
          <cell r="M41">
            <v>38</v>
          </cell>
        </row>
        <row r="42">
          <cell r="A42" t="str">
            <v>Border Terrier</v>
          </cell>
          <cell r="C42" t="str">
            <v>Terrier</v>
          </cell>
          <cell r="D42" t="str">
            <v>Terrier</v>
          </cell>
          <cell r="E42">
            <v>7</v>
          </cell>
          <cell r="F42" t="str">
            <v>Affectionate, Alert, Even-tempered, Fearless, Intelligent, Obedient</v>
          </cell>
          <cell r="G42">
            <v>1300</v>
          </cell>
          <cell r="H42">
            <v>30</v>
          </cell>
          <cell r="I42">
            <v>4</v>
          </cell>
          <cell r="M42">
            <v>92</v>
          </cell>
        </row>
        <row r="43">
          <cell r="A43" t="str">
            <v>Borzoi</v>
          </cell>
          <cell r="C43" t="str">
            <v>Hound</v>
          </cell>
          <cell r="D43" t="str">
            <v>Sight</v>
          </cell>
          <cell r="E43">
            <v>41</v>
          </cell>
          <cell r="F43" t="str">
            <v>Athletic, Gentle, Independent, Intelligent, Quiet, Respectful</v>
          </cell>
          <cell r="G43">
            <v>1100</v>
          </cell>
          <cell r="H43">
            <v>75</v>
          </cell>
          <cell r="I43">
            <v>1</v>
          </cell>
          <cell r="M43">
            <v>102</v>
          </cell>
        </row>
        <row r="44">
          <cell r="A44" t="str">
            <v>Boston Terrier</v>
          </cell>
          <cell r="B44" t="str">
            <v>Boston Bull</v>
          </cell>
          <cell r="C44" t="str">
            <v>Non Sporting</v>
          </cell>
          <cell r="D44" t="str">
            <v>Companion</v>
          </cell>
          <cell r="E44">
            <v>9</v>
          </cell>
          <cell r="F44" t="str">
            <v>Affectionate, Aggressive, Friendly, Gentle, Intelligent, Lively, Playful</v>
          </cell>
          <cell r="G44">
            <v>750</v>
          </cell>
          <cell r="H44">
            <v>54</v>
          </cell>
          <cell r="I44">
            <v>3</v>
          </cell>
          <cell r="M44">
            <v>21</v>
          </cell>
        </row>
        <row r="45">
          <cell r="A45" t="str">
            <v>Bouvier des Flanders</v>
          </cell>
          <cell r="C45" t="str">
            <v>Herding</v>
          </cell>
          <cell r="D45" t="str">
            <v>Herding</v>
          </cell>
          <cell r="E45">
            <v>42</v>
          </cell>
          <cell r="F45" t="str">
            <v>Familial, Gentle, Intelligent, Loyal, Protective, Rational</v>
          </cell>
          <cell r="G45">
            <v>1750</v>
          </cell>
          <cell r="H45">
            <v>29</v>
          </cell>
          <cell r="I45">
            <v>5</v>
          </cell>
          <cell r="M45">
            <v>85</v>
          </cell>
        </row>
        <row r="46">
          <cell r="A46" t="str">
            <v>Boxer</v>
          </cell>
          <cell r="C46" t="str">
            <v>Working</v>
          </cell>
          <cell r="D46" t="str">
            <v>Guardian</v>
          </cell>
          <cell r="E46">
            <v>30</v>
          </cell>
          <cell r="F46" t="str">
            <v>Brave, Bright, Confident, Energetic, Fearless, Friendly, Intelligent, Loyal, Playful</v>
          </cell>
          <cell r="G46">
            <v>900</v>
          </cell>
          <cell r="H46">
            <v>49</v>
          </cell>
          <cell r="I46">
            <v>5</v>
          </cell>
          <cell r="M46">
            <v>11</v>
          </cell>
        </row>
        <row r="47">
          <cell r="A47" t="str">
            <v>Boykin Spaniel</v>
          </cell>
          <cell r="C47" t="str">
            <v>Sporting</v>
          </cell>
          <cell r="D47" t="str">
            <v>Gun</v>
          </cell>
          <cell r="E47">
            <v>15</v>
          </cell>
          <cell r="F47" t="str">
            <v>Companionable, Eager, Energetic, Friendly, Intelligent, Trainable</v>
          </cell>
          <cell r="G47">
            <v>900</v>
          </cell>
          <cell r="I47">
            <v>3</v>
          </cell>
          <cell r="M47">
            <v>98</v>
          </cell>
        </row>
        <row r="48">
          <cell r="A48" t="str">
            <v>Briard</v>
          </cell>
          <cell r="C48" t="str">
            <v>Herding</v>
          </cell>
          <cell r="D48" t="str">
            <v>Gun</v>
          </cell>
          <cell r="E48">
            <v>35</v>
          </cell>
          <cell r="F48" t="str">
            <v>Faithful, Fearless, Intelligent, Loyal, Obedient, Protective</v>
          </cell>
          <cell r="G48">
            <v>1100</v>
          </cell>
          <cell r="H48">
            <v>30</v>
          </cell>
          <cell r="I48">
            <v>6</v>
          </cell>
          <cell r="M48">
            <v>127</v>
          </cell>
        </row>
        <row r="49">
          <cell r="A49" t="str">
            <v>Brittany Spaniel</v>
          </cell>
          <cell r="C49" t="str">
            <v>Sporting</v>
          </cell>
          <cell r="D49" t="str">
            <v>Gun</v>
          </cell>
          <cell r="E49">
            <v>17</v>
          </cell>
          <cell r="F49" t="str">
            <v>Alert, Independent, Intelligent, Responsive, Social</v>
          </cell>
          <cell r="G49">
            <v>750</v>
          </cell>
          <cell r="H49">
            <v>19</v>
          </cell>
          <cell r="I49">
            <v>3</v>
          </cell>
          <cell r="M49">
            <v>26</v>
          </cell>
        </row>
        <row r="50">
          <cell r="A50" t="str">
            <v>Brussels Griffon</v>
          </cell>
          <cell r="B50" t="str">
            <v>Brabancon Griffon</v>
          </cell>
          <cell r="C50" t="str">
            <v>Toy</v>
          </cell>
          <cell r="D50" t="str">
            <v>Companion</v>
          </cell>
          <cell r="E50">
            <v>4</v>
          </cell>
          <cell r="F50" t="str">
            <v>Alert, Companionable, Inquisitive, Self-important, Sensitive, Watchful</v>
          </cell>
          <cell r="G50">
            <v>900</v>
          </cell>
          <cell r="I50">
            <v>3</v>
          </cell>
          <cell r="M50">
            <v>94</v>
          </cell>
        </row>
        <row r="51">
          <cell r="A51" t="str">
            <v>Bull Terrier</v>
          </cell>
          <cell r="B51" t="str">
            <v>American Pit Bull Terrier</v>
          </cell>
          <cell r="C51" t="str">
            <v>Terrier</v>
          </cell>
          <cell r="D51" t="str">
            <v>Terrier</v>
          </cell>
          <cell r="E51">
            <v>28</v>
          </cell>
          <cell r="F51" t="str">
            <v>Active, Keen, Protective, Sweet-tempered, Trainable</v>
          </cell>
          <cell r="G51">
            <v>1350</v>
          </cell>
          <cell r="H51">
            <v>66</v>
          </cell>
          <cell r="I51">
            <v>6</v>
          </cell>
          <cell r="M51">
            <v>60</v>
          </cell>
        </row>
        <row r="52">
          <cell r="A52" t="str">
            <v>Bullmastiff</v>
          </cell>
          <cell r="B52" t="str">
            <v>Bull Mastiff</v>
          </cell>
          <cell r="C52" t="str">
            <v>Working</v>
          </cell>
          <cell r="D52" t="str">
            <v>Guardian</v>
          </cell>
          <cell r="E52">
            <v>55</v>
          </cell>
          <cell r="F52" t="str">
            <v>Alert, Calm, Courageous, Devoted, Docile, Powerful, Loyal, Protective, Reliable</v>
          </cell>
          <cell r="G52">
            <v>1350</v>
          </cell>
          <cell r="H52">
            <v>69</v>
          </cell>
          <cell r="I52">
            <v>6</v>
          </cell>
          <cell r="J52">
            <v>1</v>
          </cell>
          <cell r="M52">
            <v>51</v>
          </cell>
        </row>
        <row r="53">
          <cell r="A53" t="str">
            <v>Cairn Terrier</v>
          </cell>
          <cell r="B53" t="str">
            <v>Cairn</v>
          </cell>
          <cell r="C53" t="str">
            <v>Terrier</v>
          </cell>
          <cell r="D53" t="str">
            <v>Terrier</v>
          </cell>
          <cell r="E53">
            <v>7</v>
          </cell>
          <cell r="F53" t="str">
            <v>Active, Assertive, Courageous, Fearless, Hardy, Intelligent</v>
          </cell>
          <cell r="G53">
            <v>850</v>
          </cell>
          <cell r="H53">
            <v>35</v>
          </cell>
          <cell r="I53">
            <v>4</v>
          </cell>
          <cell r="M53">
            <v>69</v>
          </cell>
        </row>
        <row r="54">
          <cell r="A54" t="str">
            <v>Canaan Dog</v>
          </cell>
          <cell r="C54" t="str">
            <v>Herding</v>
          </cell>
          <cell r="D54" t="str">
            <v>Sight</v>
          </cell>
          <cell r="E54">
            <v>21</v>
          </cell>
          <cell r="F54" t="str">
            <v>Alert, Cautious, Devoted, Quick, Vigilant</v>
          </cell>
          <cell r="G54">
            <v>1000</v>
          </cell>
          <cell r="I54">
            <v>3</v>
          </cell>
          <cell r="M54">
            <v>175</v>
          </cell>
        </row>
        <row r="55">
          <cell r="A55" t="str">
            <v>Cane Corso Mastiff</v>
          </cell>
          <cell r="C55" t="str">
            <v>Working</v>
          </cell>
          <cell r="D55" t="str">
            <v>Guardian</v>
          </cell>
          <cell r="E55">
            <v>47</v>
          </cell>
          <cell r="F55" t="str">
            <v>Cheerful, Courageous, Loyal, Quiet, Social</v>
          </cell>
          <cell r="G55">
            <v>1750</v>
          </cell>
          <cell r="I55">
            <v>6</v>
          </cell>
          <cell r="M55">
            <v>37</v>
          </cell>
        </row>
        <row r="56">
          <cell r="A56" t="str">
            <v>Carolina Dog</v>
          </cell>
          <cell r="D56" t="str">
            <v>Sight</v>
          </cell>
          <cell r="E56">
            <v>18</v>
          </cell>
          <cell r="F56" t="str">
            <v>Adaptable, Gentle, Loyal, Primitive, Reserved</v>
          </cell>
          <cell r="G56">
            <v>900</v>
          </cell>
          <cell r="I56">
            <v>3</v>
          </cell>
        </row>
        <row r="57">
          <cell r="A57" t="str">
            <v>Catahoula Leopard Dog</v>
          </cell>
          <cell r="C57" t="str">
            <v>Herding</v>
          </cell>
          <cell r="D57" t="str">
            <v>Herding</v>
          </cell>
          <cell r="E57">
            <v>27</v>
          </cell>
          <cell r="F57" t="str">
            <v>Alert, Courageous, Energetic, Gentle, Independent, Intelligent, Loving, Loyal, Protective</v>
          </cell>
          <cell r="G57">
            <v>400</v>
          </cell>
          <cell r="I57">
            <v>6</v>
          </cell>
        </row>
        <row r="58">
          <cell r="A58" t="str">
            <v>Cattle Dog</v>
          </cell>
          <cell r="C58" t="str">
            <v>Herding</v>
          </cell>
          <cell r="D58" t="str">
            <v>Herding</v>
          </cell>
          <cell r="E58">
            <v>21</v>
          </cell>
          <cell r="F58" t="str">
            <v>Aggressive, Alert, Energetic, Intelligent, Loyal, Protective, Responsive</v>
          </cell>
          <cell r="G58">
            <v>600</v>
          </cell>
          <cell r="H58">
            <v>10</v>
          </cell>
          <cell r="I58">
            <v>6</v>
          </cell>
          <cell r="M58">
            <v>56</v>
          </cell>
        </row>
        <row r="59">
          <cell r="A59" t="str">
            <v>Caucasian Sheepdog (Caucasian Ovtcharka)</v>
          </cell>
          <cell r="C59" t="str">
            <v>Working</v>
          </cell>
          <cell r="D59" t="str">
            <v>Guardian</v>
          </cell>
          <cell r="E59">
            <v>63</v>
          </cell>
          <cell r="F59" t="str">
            <v>Alert, Calm, Dominant, Powerful, Quick,Strong</v>
          </cell>
          <cell r="G59">
            <v>1750</v>
          </cell>
          <cell r="I59">
            <v>6</v>
          </cell>
        </row>
        <row r="60">
          <cell r="A60" t="str">
            <v>Cavalier King Charles Spaniel</v>
          </cell>
          <cell r="C60" t="str">
            <v>Toy</v>
          </cell>
          <cell r="D60" t="str">
            <v>Companion</v>
          </cell>
          <cell r="E60">
            <v>7</v>
          </cell>
          <cell r="F60" t="str">
            <v>Affectionate, Cheerful, Courageous, Gentle, Intelligent, Social</v>
          </cell>
          <cell r="G60">
            <v>1350</v>
          </cell>
          <cell r="H60">
            <v>44</v>
          </cell>
          <cell r="I60">
            <v>2</v>
          </cell>
          <cell r="M60">
            <v>19</v>
          </cell>
        </row>
        <row r="61">
          <cell r="A61" t="str">
            <v>Chesapeake Bay Retriever</v>
          </cell>
          <cell r="C61" t="str">
            <v>Sporting</v>
          </cell>
          <cell r="D61" t="str">
            <v>Gun</v>
          </cell>
          <cell r="E61">
            <v>33</v>
          </cell>
          <cell r="F61" t="str">
            <v>Happy, Affectionate, Dominant, Intelligent, Protective, Quiet</v>
          </cell>
          <cell r="G61">
            <v>800</v>
          </cell>
          <cell r="H61">
            <v>27</v>
          </cell>
          <cell r="I61">
            <v>3</v>
          </cell>
          <cell r="M61">
            <v>43</v>
          </cell>
        </row>
        <row r="62">
          <cell r="A62" t="str">
            <v>Chihuahua</v>
          </cell>
          <cell r="C62" t="str">
            <v>Toy</v>
          </cell>
          <cell r="D62" t="str">
            <v>Companion</v>
          </cell>
          <cell r="E62">
            <v>2</v>
          </cell>
          <cell r="F62" t="str">
            <v>Alert, Courageous, Devoted, Lively, Intelligent, Quick</v>
          </cell>
          <cell r="G62">
            <v>700</v>
          </cell>
          <cell r="H62">
            <v>67</v>
          </cell>
          <cell r="I62">
            <v>2</v>
          </cell>
          <cell r="M62">
            <v>32</v>
          </cell>
        </row>
        <row r="63">
          <cell r="A63" t="str">
            <v>Chinese Crested Dog</v>
          </cell>
          <cell r="C63" t="str">
            <v>Toy</v>
          </cell>
          <cell r="D63" t="str">
            <v>Companion</v>
          </cell>
          <cell r="E63">
            <v>4</v>
          </cell>
          <cell r="F63" t="str">
            <v>Affectionate, Alert, Happy, Lively, Playful, Sweet-tempered</v>
          </cell>
          <cell r="G63">
            <v>900</v>
          </cell>
          <cell r="H63">
            <v>61</v>
          </cell>
          <cell r="I63">
            <v>2</v>
          </cell>
          <cell r="M63">
            <v>79</v>
          </cell>
        </row>
        <row r="64">
          <cell r="A64" t="str">
            <v>Chinese Foo Dog</v>
          </cell>
          <cell r="C64" t="str">
            <v>Working</v>
          </cell>
          <cell r="D64" t="str">
            <v>Northern</v>
          </cell>
          <cell r="E64">
            <v>25</v>
          </cell>
          <cell r="F64" t="str">
            <v>Friendly, Devoted, Courageous</v>
          </cell>
          <cell r="G64">
            <v>2000</v>
          </cell>
          <cell r="I64">
            <v>5</v>
          </cell>
        </row>
        <row r="65">
          <cell r="A65" t="str">
            <v>Chinook</v>
          </cell>
          <cell r="C65" t="str">
            <v>Working</v>
          </cell>
          <cell r="D65" t="str">
            <v>Northern</v>
          </cell>
          <cell r="E65">
            <v>32</v>
          </cell>
          <cell r="F65" t="str">
            <v>Alert, Calm, Dignified, Friendly, Responsive</v>
          </cell>
          <cell r="G65">
            <v>900</v>
          </cell>
          <cell r="I65">
            <v>4</v>
          </cell>
          <cell r="M65">
            <v>179</v>
          </cell>
        </row>
        <row r="66">
          <cell r="A66" t="str">
            <v>Chocolate Labrador Retriever</v>
          </cell>
          <cell r="C66" t="str">
            <v>Sporting</v>
          </cell>
          <cell r="D66" t="str">
            <v>Gun</v>
          </cell>
          <cell r="E66">
            <v>32</v>
          </cell>
          <cell r="F66" t="str">
            <v>Affectionate, Alert, Cheerful, Energetic, Friendly, Gentle, Intelligent, Loving, Loyal, Outgoing, Playful, Responsive, Social</v>
          </cell>
          <cell r="G66">
            <v>1500</v>
          </cell>
          <cell r="H66">
            <v>7</v>
          </cell>
          <cell r="I66">
            <v>3</v>
          </cell>
          <cell r="M66">
            <v>1</v>
          </cell>
        </row>
        <row r="67">
          <cell r="A67" t="str">
            <v>Chow Chow</v>
          </cell>
          <cell r="B67" t="str">
            <v>Chow</v>
          </cell>
          <cell r="C67" t="str">
            <v>Non Sporting</v>
          </cell>
          <cell r="D67" t="str">
            <v>Northern</v>
          </cell>
          <cell r="E67">
            <v>26</v>
          </cell>
          <cell r="F67" t="str">
            <v>Aloof, Independent, Loyal, Quiet, Intelligent, Protective, Detached</v>
          </cell>
          <cell r="G67">
            <v>700</v>
          </cell>
          <cell r="H67">
            <v>76</v>
          </cell>
          <cell r="I67">
            <v>3</v>
          </cell>
          <cell r="M67">
            <v>76</v>
          </cell>
        </row>
        <row r="68">
          <cell r="A68" t="str">
            <v>Cirneco dell'Etna</v>
          </cell>
          <cell r="C68" t="str">
            <v>Hound</v>
          </cell>
          <cell r="D68" t="str">
            <v>Sight</v>
          </cell>
          <cell r="E68">
            <v>11</v>
          </cell>
          <cell r="F68" t="str">
            <v>Affectionate, Gentle, Lively</v>
          </cell>
          <cell r="G68">
            <v>900</v>
          </cell>
          <cell r="I68">
            <v>3</v>
          </cell>
          <cell r="M68">
            <v>184</v>
          </cell>
        </row>
        <row r="69">
          <cell r="A69" t="str">
            <v>Clumber Spaniel</v>
          </cell>
          <cell r="B69" t="str">
            <v>Clumber</v>
          </cell>
          <cell r="C69" t="str">
            <v>Sporting</v>
          </cell>
          <cell r="D69" t="str">
            <v>Gun</v>
          </cell>
          <cell r="E69">
            <v>32</v>
          </cell>
          <cell r="F69" t="str">
            <v>Gentle, Loyal, Affectionate, Dignified, Aloof</v>
          </cell>
          <cell r="G69">
            <v>1000</v>
          </cell>
          <cell r="H69">
            <v>37</v>
          </cell>
          <cell r="I69">
            <v>3</v>
          </cell>
          <cell r="M69">
            <v>140</v>
          </cell>
        </row>
        <row r="70">
          <cell r="A70" t="str">
            <v>Cockapoo</v>
          </cell>
          <cell r="C70" t="str">
            <v>Sporting</v>
          </cell>
          <cell r="D70" t="str">
            <v>Gun</v>
          </cell>
          <cell r="E70">
            <v>8</v>
          </cell>
          <cell r="F70" t="str">
            <v>Affectionate, Alert, Cheerful, Friendly, Intelligent, Loving, Loyal, Outgoing, Playful, Responsive, Social</v>
          </cell>
          <cell r="G70">
            <v>1000</v>
          </cell>
          <cell r="I70">
            <v>3</v>
          </cell>
        </row>
        <row r="71">
          <cell r="A71" t="str">
            <v>Cocker Spaniel</v>
          </cell>
          <cell r="C71" t="str">
            <v>Sporting</v>
          </cell>
          <cell r="D71" t="str">
            <v>Gun</v>
          </cell>
          <cell r="E71">
            <v>10</v>
          </cell>
          <cell r="F71" t="str">
            <v>Even Tempered, Joyful, Merry, Outgoing, Intelligent, Sociable, Trusting</v>
          </cell>
          <cell r="G71">
            <v>700</v>
          </cell>
          <cell r="H71">
            <v>20</v>
          </cell>
          <cell r="I71">
            <v>3</v>
          </cell>
          <cell r="M71">
            <v>29</v>
          </cell>
        </row>
        <row r="72">
          <cell r="A72" t="str">
            <v>Collie</v>
          </cell>
          <cell r="C72" t="str">
            <v>Herding</v>
          </cell>
          <cell r="D72" t="str">
            <v>Herding</v>
          </cell>
          <cell r="E72">
            <v>31</v>
          </cell>
          <cell r="F72" t="str">
            <v>Friendly, Gentle, Intelligent, Loyal, Protective, Responsive, Social</v>
          </cell>
          <cell r="G72">
            <v>500</v>
          </cell>
          <cell r="H72">
            <v>16</v>
          </cell>
          <cell r="I72">
            <v>5</v>
          </cell>
          <cell r="M72">
            <v>40</v>
          </cell>
        </row>
        <row r="73">
          <cell r="A73" t="str">
            <v>Coonhound</v>
          </cell>
          <cell r="C73" t="str">
            <v>Hound</v>
          </cell>
          <cell r="D73" t="str">
            <v>Scenthound</v>
          </cell>
          <cell r="E73">
            <v>55</v>
          </cell>
          <cell r="F73" t="str">
            <v>Adaptable, Easygoing, Even-tempered, Gentle, Lovable, Trusting, Intelligent</v>
          </cell>
          <cell r="G73">
            <v>350</v>
          </cell>
          <cell r="H73">
            <v>44</v>
          </cell>
          <cell r="I73">
            <v>3</v>
          </cell>
          <cell r="M73">
            <v>130</v>
          </cell>
        </row>
        <row r="74">
          <cell r="A74" t="str">
            <v>Corgi</v>
          </cell>
          <cell r="C74" t="str">
            <v>Herding</v>
          </cell>
          <cell r="D74" t="str">
            <v>Herding</v>
          </cell>
          <cell r="E74">
            <v>13</v>
          </cell>
          <cell r="F74" t="str">
            <v>Active, Affectionate, Alert, Companionable, Devoted, Gentle, Intelligent</v>
          </cell>
          <cell r="G74">
            <v>1100</v>
          </cell>
          <cell r="H74">
            <v>26</v>
          </cell>
          <cell r="I74">
            <v>4</v>
          </cell>
          <cell r="M74">
            <v>68</v>
          </cell>
        </row>
        <row r="75">
          <cell r="A75" t="str">
            <v>Coton de Tulear</v>
          </cell>
          <cell r="C75" t="str">
            <v>Non Sporting</v>
          </cell>
          <cell r="D75" t="str">
            <v>Companion</v>
          </cell>
          <cell r="E75">
            <v>6</v>
          </cell>
          <cell r="F75" t="str">
            <v>Affectionate, Intelligent, Lively, Playful, Trainable, Vocal</v>
          </cell>
          <cell r="G75">
            <v>2700</v>
          </cell>
          <cell r="I75">
            <v>3</v>
          </cell>
          <cell r="M75">
            <v>81</v>
          </cell>
        </row>
        <row r="76">
          <cell r="A76" t="str">
            <v>Curly-Coated Retriever</v>
          </cell>
          <cell r="C76" t="str">
            <v>Sporting</v>
          </cell>
          <cell r="D76" t="str">
            <v>Gun</v>
          </cell>
          <cell r="E76">
            <v>34</v>
          </cell>
          <cell r="F76" t="str">
            <v>Clever, Independent, Intelligent, Lively, Sensitive, Trainable</v>
          </cell>
          <cell r="G76">
            <v>700</v>
          </cell>
          <cell r="H76">
            <v>41</v>
          </cell>
          <cell r="I76">
            <v>3</v>
          </cell>
          <cell r="M76">
            <v>171</v>
          </cell>
        </row>
        <row r="77">
          <cell r="A77" t="str">
            <v>Dachshund</v>
          </cell>
          <cell r="C77" t="str">
            <v>Hound</v>
          </cell>
          <cell r="D77" t="str">
            <v>Scenthound</v>
          </cell>
          <cell r="E77">
            <v>7</v>
          </cell>
          <cell r="F77" t="str">
            <v>Clever, Courageous, Devoted, Lively, Playful, Stubborn</v>
          </cell>
          <cell r="G77">
            <v>600</v>
          </cell>
          <cell r="H77">
            <v>49</v>
          </cell>
          <cell r="I77">
            <v>3</v>
          </cell>
          <cell r="M77">
            <v>13</v>
          </cell>
        </row>
        <row r="78">
          <cell r="A78" t="str">
            <v>Dalmatian</v>
          </cell>
          <cell r="C78" t="str">
            <v>Non Sporting</v>
          </cell>
          <cell r="D78" t="str">
            <v>Companion</v>
          </cell>
          <cell r="E78">
            <v>25</v>
          </cell>
          <cell r="F78" t="str">
            <v>Active, Energetic, Friendly, Intelligent, Outgoing, Playful, Sensitive</v>
          </cell>
          <cell r="G78">
            <v>800</v>
          </cell>
          <cell r="H78">
            <v>39</v>
          </cell>
          <cell r="I78">
            <v>3</v>
          </cell>
          <cell r="M78">
            <v>63</v>
          </cell>
        </row>
        <row r="79">
          <cell r="A79" t="str">
            <v>Dandi Dinmont Terrier</v>
          </cell>
          <cell r="B79" t="str">
            <v>Dandie Dinmont</v>
          </cell>
          <cell r="C79" t="str">
            <v>Terrier</v>
          </cell>
          <cell r="D79" t="str">
            <v>Terrier</v>
          </cell>
          <cell r="E79">
            <v>10</v>
          </cell>
          <cell r="F79" t="str">
            <v>Affectionate, Companionable, Determined, Fun-loving, Independent, Lively, Intelligent</v>
          </cell>
          <cell r="G79">
            <v>1500</v>
          </cell>
          <cell r="H79">
            <v>62</v>
          </cell>
          <cell r="I79">
            <v>3</v>
          </cell>
          <cell r="M79">
            <v>182</v>
          </cell>
        </row>
        <row r="80">
          <cell r="A80" t="str">
            <v>Dhole</v>
          </cell>
          <cell r="E80">
            <v>18</v>
          </cell>
          <cell r="F80" t="str">
            <v>Wild</v>
          </cell>
        </row>
        <row r="81">
          <cell r="A81" t="str">
            <v>Dingo</v>
          </cell>
          <cell r="E81">
            <v>16</v>
          </cell>
          <cell r="F81" t="str">
            <v>Wild</v>
          </cell>
        </row>
        <row r="82">
          <cell r="A82" t="str">
            <v>Doberman Pinscher</v>
          </cell>
          <cell r="B82" t="str">
            <v>Doberman</v>
          </cell>
          <cell r="C82" t="str">
            <v>Working</v>
          </cell>
          <cell r="D82" t="str">
            <v>Guardian</v>
          </cell>
          <cell r="E82">
            <v>43</v>
          </cell>
          <cell r="F82" t="str">
            <v>Alert, Energetic, Fearless, Intelligent, Loyal, Obedient</v>
          </cell>
          <cell r="G82">
            <v>900</v>
          </cell>
          <cell r="H82">
            <v>5</v>
          </cell>
          <cell r="I82">
            <v>6</v>
          </cell>
          <cell r="J82">
            <v>1</v>
          </cell>
          <cell r="M82">
            <v>16</v>
          </cell>
        </row>
        <row r="83">
          <cell r="A83" t="str">
            <v>Dogo Argentino</v>
          </cell>
          <cell r="C83" t="str">
            <v>Working</v>
          </cell>
          <cell r="D83" t="str">
            <v>Guardian</v>
          </cell>
          <cell r="E83">
            <v>43</v>
          </cell>
          <cell r="F83" t="str">
            <v>Affectionate, Cheerful, Friendly, Loyal, Protective, Tolerant, Social</v>
          </cell>
          <cell r="G83">
            <v>39000</v>
          </cell>
          <cell r="I83">
            <v>5</v>
          </cell>
          <cell r="K83">
            <v>1</v>
          </cell>
        </row>
        <row r="84">
          <cell r="A84" t="str">
            <v>Dogue de Bordeaux</v>
          </cell>
          <cell r="C84" t="str">
            <v>Working</v>
          </cell>
          <cell r="D84" t="str">
            <v>Guardian</v>
          </cell>
          <cell r="E84">
            <v>60</v>
          </cell>
          <cell r="F84" t="str">
            <v>Companionable, Courageous, Devoted, Even-tempered, Loyal, Vigiliant</v>
          </cell>
          <cell r="G84">
            <v>1150</v>
          </cell>
          <cell r="I84">
            <v>6</v>
          </cell>
          <cell r="M84">
            <v>67</v>
          </cell>
        </row>
        <row r="85">
          <cell r="A85" t="str">
            <v>Dutch Shepherd</v>
          </cell>
          <cell r="C85" t="str">
            <v>Herding</v>
          </cell>
          <cell r="D85" t="str">
            <v>Herding</v>
          </cell>
          <cell r="E85">
            <v>28</v>
          </cell>
          <cell r="F85" t="str">
            <v>Affectionate, Alert, Loyal, Obedient, Reliable, Trainable</v>
          </cell>
          <cell r="G85">
            <v>1100</v>
          </cell>
          <cell r="I85">
            <v>5</v>
          </cell>
        </row>
        <row r="86">
          <cell r="A86" t="str">
            <v>English Bulldog</v>
          </cell>
          <cell r="C86" t="str">
            <v>Non Sporting</v>
          </cell>
          <cell r="D86" t="str">
            <v>Companion</v>
          </cell>
          <cell r="E86">
            <v>25</v>
          </cell>
          <cell r="F86" t="str">
            <v>Aggressive, Courageous, Friendly, Loving, Social, Sweet</v>
          </cell>
          <cell r="G86">
            <v>1600</v>
          </cell>
          <cell r="H86">
            <v>77</v>
          </cell>
          <cell r="I86">
            <v>3</v>
          </cell>
          <cell r="M86">
            <v>5</v>
          </cell>
        </row>
        <row r="87">
          <cell r="A87" t="str">
            <v>English Cocker Spaniel</v>
          </cell>
          <cell r="C87" t="str">
            <v>Sporting</v>
          </cell>
          <cell r="D87" t="str">
            <v>Gun</v>
          </cell>
          <cell r="E87">
            <v>14</v>
          </cell>
          <cell r="F87" t="str">
            <v>Affectionate, Faithful, Friendly, Intelligent, Playful, Quiet, Trainable</v>
          </cell>
          <cell r="G87">
            <v>1050</v>
          </cell>
          <cell r="H87">
            <v>18</v>
          </cell>
          <cell r="I87">
            <v>4</v>
          </cell>
          <cell r="M87">
            <v>52</v>
          </cell>
        </row>
        <row r="88">
          <cell r="A88" t="str">
            <v>English Coonhound</v>
          </cell>
          <cell r="C88" t="str">
            <v>Hound</v>
          </cell>
          <cell r="D88" t="str">
            <v>Scenthound</v>
          </cell>
          <cell r="E88">
            <v>26</v>
          </cell>
          <cell r="F88" t="str">
            <v>Active, Energetic, High-strung, Loyal</v>
          </cell>
          <cell r="G88">
            <v>1100</v>
          </cell>
          <cell r="I88">
            <v>4</v>
          </cell>
          <cell r="M88">
            <v>178</v>
          </cell>
        </row>
        <row r="89">
          <cell r="A89" t="str">
            <v>English Pointer</v>
          </cell>
          <cell r="C89" t="str">
            <v>Sporting</v>
          </cell>
          <cell r="D89" t="str">
            <v>Gun</v>
          </cell>
          <cell r="E89">
            <v>25</v>
          </cell>
          <cell r="F89" t="str">
            <v>Active, Affectionate, Amiable, Even-tempered, Kind, Loyal, Intelligent</v>
          </cell>
          <cell r="G89">
            <v>450</v>
          </cell>
          <cell r="H89">
            <v>43</v>
          </cell>
          <cell r="I89">
            <v>4</v>
          </cell>
          <cell r="M89">
            <v>113</v>
          </cell>
        </row>
        <row r="90">
          <cell r="A90" t="str">
            <v>English Setter</v>
          </cell>
          <cell r="C90" t="str">
            <v>Sporting</v>
          </cell>
          <cell r="D90" t="str">
            <v>Gun</v>
          </cell>
          <cell r="E90">
            <v>30</v>
          </cell>
          <cell r="F90" t="str">
            <v>Strong-willed, Mischevious, Gentle, Energetic, Intelligent</v>
          </cell>
          <cell r="G90">
            <v>500</v>
          </cell>
          <cell r="H90">
            <v>37</v>
          </cell>
          <cell r="I90">
            <v>3</v>
          </cell>
          <cell r="M90">
            <v>95</v>
          </cell>
        </row>
        <row r="91">
          <cell r="A91" t="str">
            <v>English Shepherd</v>
          </cell>
          <cell r="C91" t="str">
            <v>Herding</v>
          </cell>
          <cell r="D91" t="str">
            <v>Herding</v>
          </cell>
          <cell r="E91">
            <v>25</v>
          </cell>
          <cell r="F91" t="str">
            <v>Adaptable, Alert, Courageous, Energetic, Friendly, Independent, Intelligent, Playful, Responsibe</v>
          </cell>
          <cell r="G91">
            <v>900</v>
          </cell>
          <cell r="I91">
            <v>4</v>
          </cell>
        </row>
        <row r="92">
          <cell r="A92" t="str">
            <v>English Springer Spaniel</v>
          </cell>
          <cell r="C92" t="str">
            <v>Sporting</v>
          </cell>
          <cell r="D92" t="str">
            <v>Gun</v>
          </cell>
          <cell r="E92">
            <v>23</v>
          </cell>
          <cell r="F92" t="str">
            <v>Affectionate, Alert, Cheerful, Energetic, Intelligent, Playful, Social</v>
          </cell>
          <cell r="G92">
            <v>750</v>
          </cell>
          <cell r="H92">
            <v>13</v>
          </cell>
          <cell r="I92">
            <v>3</v>
          </cell>
          <cell r="M92">
            <v>27</v>
          </cell>
        </row>
        <row r="93">
          <cell r="A93" t="str">
            <v>English Toy Spaniel</v>
          </cell>
          <cell r="B93" t="str">
            <v>Blenheim Spaniel</v>
          </cell>
          <cell r="C93" t="str">
            <v>Toy</v>
          </cell>
          <cell r="D93" t="str">
            <v>Companion</v>
          </cell>
          <cell r="E93">
            <v>5</v>
          </cell>
          <cell r="F93" t="str">
            <v>Affectionate, Gentle, Happy, Loving, Playful, Reserved</v>
          </cell>
          <cell r="G93">
            <v>1400</v>
          </cell>
          <cell r="I93">
            <v>3</v>
          </cell>
          <cell r="M93">
            <v>134</v>
          </cell>
        </row>
        <row r="94">
          <cell r="A94" t="str">
            <v>Entlebucher</v>
          </cell>
          <cell r="C94" t="str">
            <v>Herding</v>
          </cell>
          <cell r="D94" t="str">
            <v>Guardian</v>
          </cell>
          <cell r="E94">
            <v>27</v>
          </cell>
          <cell r="F94" t="str">
            <v>Agile, Devoted, Independent, Loyal, Self-confident</v>
          </cell>
          <cell r="I94">
            <v>6</v>
          </cell>
          <cell r="M94">
            <v>152</v>
          </cell>
        </row>
        <row r="95">
          <cell r="A95" t="str">
            <v>Eskimo Dog</v>
          </cell>
          <cell r="C95" t="str">
            <v>Non Sporting</v>
          </cell>
          <cell r="D95" t="str">
            <v>Northern</v>
          </cell>
          <cell r="E95">
            <v>8</v>
          </cell>
          <cell r="F95" t="str">
            <v>Alert, Energetic, Friendly, Independent, Intelligent, Protective</v>
          </cell>
          <cell r="G95">
            <v>700</v>
          </cell>
          <cell r="I95">
            <v>4</v>
          </cell>
          <cell r="M95">
            <v>118</v>
          </cell>
        </row>
        <row r="96">
          <cell r="A96" t="str">
            <v>Feist</v>
          </cell>
          <cell r="C96" t="str">
            <v>Terrier</v>
          </cell>
          <cell r="D96" t="str">
            <v>Terrier</v>
          </cell>
          <cell r="E96">
            <v>15</v>
          </cell>
          <cell r="F96" t="str">
            <v>Agile, Alert, Lovable, Spirited, Swift</v>
          </cell>
          <cell r="G96">
            <v>350</v>
          </cell>
          <cell r="I96">
            <v>4</v>
          </cell>
        </row>
        <row r="97">
          <cell r="A97" t="str">
            <v>Field Spaniel</v>
          </cell>
          <cell r="C97" t="str">
            <v>Sporting</v>
          </cell>
          <cell r="D97" t="str">
            <v>Gun</v>
          </cell>
          <cell r="E97">
            <v>19</v>
          </cell>
          <cell r="F97" t="str">
            <v>Adaptable, Cautious, Docile, Familial, Sensitive, Sociable</v>
          </cell>
          <cell r="G97">
            <v>900</v>
          </cell>
          <cell r="H97">
            <v>34</v>
          </cell>
          <cell r="I97">
            <v>3</v>
          </cell>
          <cell r="M97">
            <v>145</v>
          </cell>
        </row>
        <row r="98">
          <cell r="A98" t="str">
            <v>Fila Brasileiro</v>
          </cell>
          <cell r="C98" t="str">
            <v>Working</v>
          </cell>
          <cell r="D98" t="str">
            <v>Guardian</v>
          </cell>
          <cell r="E98">
            <v>46</v>
          </cell>
          <cell r="F98" t="str">
            <v>Brave, Courageous, Determined, Docile, Loyal, Obedient</v>
          </cell>
          <cell r="G98">
            <v>1150</v>
          </cell>
          <cell r="I98">
            <v>5</v>
          </cell>
          <cell r="K98">
            <v>1</v>
          </cell>
        </row>
        <row r="99">
          <cell r="A99" t="str">
            <v>Finnish Lapphund</v>
          </cell>
          <cell r="C99" t="str">
            <v>Herding</v>
          </cell>
          <cell r="D99" t="str">
            <v>Northern</v>
          </cell>
          <cell r="E99">
            <v>18</v>
          </cell>
          <cell r="F99" t="str">
            <v>Calm, Courageous, Faithful, Friendly, Keen</v>
          </cell>
          <cell r="G99">
            <v>700</v>
          </cell>
          <cell r="I99">
            <v>5</v>
          </cell>
          <cell r="M99">
            <v>173</v>
          </cell>
        </row>
        <row r="100">
          <cell r="A100" t="str">
            <v>Finnish Spitz</v>
          </cell>
          <cell r="C100" t="str">
            <v>Non Sporting</v>
          </cell>
          <cell r="D100" t="str">
            <v>Northern</v>
          </cell>
          <cell r="E100">
            <v>15</v>
          </cell>
          <cell r="F100" t="str">
            <v>Happy, Independent, Intelligent, Loyal, Playful, Vocal</v>
          </cell>
          <cell r="G100">
            <v>600</v>
          </cell>
          <cell r="H100">
            <v>43</v>
          </cell>
          <cell r="I100">
            <v>3</v>
          </cell>
          <cell r="M100">
            <v>177</v>
          </cell>
        </row>
        <row r="101">
          <cell r="A101" t="str">
            <v>Flat-coated Retriever</v>
          </cell>
          <cell r="C101" t="str">
            <v>Sporting</v>
          </cell>
          <cell r="D101" t="str">
            <v>Gun</v>
          </cell>
          <cell r="E101">
            <v>30</v>
          </cell>
          <cell r="F101" t="str">
            <v>Friendly, Confident, Devoted, Optimistic, Outgoing, Intelligent</v>
          </cell>
          <cell r="G101">
            <v>1100</v>
          </cell>
          <cell r="H101">
            <v>18</v>
          </cell>
          <cell r="I101">
            <v>5</v>
          </cell>
          <cell r="M101">
            <v>96</v>
          </cell>
        </row>
        <row r="102">
          <cell r="A102" t="str">
            <v>Fox Terrier</v>
          </cell>
          <cell r="C102" t="str">
            <v>Terrier</v>
          </cell>
          <cell r="D102" t="str">
            <v>Terrier</v>
          </cell>
          <cell r="E102">
            <v>8</v>
          </cell>
          <cell r="F102" t="str">
            <v>Active, Affectionate, Alert, Fearless, Intelligent, Playful</v>
          </cell>
          <cell r="G102">
            <v>850</v>
          </cell>
          <cell r="H102">
            <v>40</v>
          </cell>
          <cell r="I102">
            <v>3</v>
          </cell>
          <cell r="M102">
            <v>122</v>
          </cell>
        </row>
        <row r="103">
          <cell r="A103" t="str">
            <v>Foxhound</v>
          </cell>
          <cell r="C103" t="str">
            <v>Hound</v>
          </cell>
          <cell r="D103" t="str">
            <v>Scenthound</v>
          </cell>
          <cell r="E103">
            <v>32</v>
          </cell>
          <cell r="F103" t="str">
            <v>Independent, Intelligent, Kind, Loving, Loyal, Sweet-tempered</v>
          </cell>
          <cell r="G103">
            <v>500</v>
          </cell>
          <cell r="H103">
            <v>46</v>
          </cell>
          <cell r="I103">
            <v>2</v>
          </cell>
          <cell r="M103">
            <v>187</v>
          </cell>
        </row>
        <row r="104">
          <cell r="A104" t="str">
            <v>French Bulldog</v>
          </cell>
          <cell r="C104" t="str">
            <v>Non Sporting</v>
          </cell>
          <cell r="D104" t="str">
            <v>Companion</v>
          </cell>
          <cell r="E104">
            <v>12</v>
          </cell>
          <cell r="F104" t="str">
            <v>Affectionate, Playful, Alert, Athletic, Bright, Easygoing, Keen, Lively, Patient</v>
          </cell>
          <cell r="G104">
            <v>3000</v>
          </cell>
          <cell r="H104">
            <v>58</v>
          </cell>
          <cell r="I104">
            <v>3</v>
          </cell>
          <cell r="M104">
            <v>4</v>
          </cell>
        </row>
        <row r="105">
          <cell r="A105" t="str">
            <v>Galgo Spanish Greyhound</v>
          </cell>
          <cell r="C105" t="str">
            <v>Hound</v>
          </cell>
          <cell r="D105" t="str">
            <v>Sight</v>
          </cell>
          <cell r="E105">
            <v>25</v>
          </cell>
          <cell r="F105" t="str">
            <v>Affectionate, Calm, Quiet, Gentle</v>
          </cell>
          <cell r="G105">
            <v>700</v>
          </cell>
          <cell r="I105">
            <v>3</v>
          </cell>
        </row>
        <row r="106">
          <cell r="A106" t="str">
            <v>German Pinscher</v>
          </cell>
          <cell r="C106" t="str">
            <v>Working</v>
          </cell>
          <cell r="D106" t="str">
            <v>Terrier</v>
          </cell>
          <cell r="E106">
            <v>14</v>
          </cell>
          <cell r="F106" t="str">
            <v>Even-tempered, Familial, Courageous, Lively, Loving, Spirited</v>
          </cell>
          <cell r="G106">
            <v>1500</v>
          </cell>
          <cell r="I106">
            <v>6</v>
          </cell>
          <cell r="J106">
            <v>1</v>
          </cell>
          <cell r="M106">
            <v>136</v>
          </cell>
        </row>
        <row r="107">
          <cell r="A107" t="str">
            <v>German Shepherd Dog</v>
          </cell>
          <cell r="B107" t="str">
            <v>German Shepherd</v>
          </cell>
          <cell r="C107" t="str">
            <v>Herding</v>
          </cell>
          <cell r="D107" t="str">
            <v>Herding</v>
          </cell>
          <cell r="E107">
            <v>35</v>
          </cell>
          <cell r="F107" t="str">
            <v>Alert, Confident, Courageous, Curious, Intelligent, Loyal, Obedient, Watchful</v>
          </cell>
          <cell r="G107">
            <v>1400</v>
          </cell>
          <cell r="H107">
            <v>3</v>
          </cell>
          <cell r="I107">
            <v>6</v>
          </cell>
          <cell r="J107">
            <v>1</v>
          </cell>
          <cell r="L107">
            <v>8</v>
          </cell>
          <cell r="M107">
            <v>2</v>
          </cell>
        </row>
        <row r="108">
          <cell r="A108" t="str">
            <v>German Shorthaired Pointer</v>
          </cell>
          <cell r="B108" t="str">
            <v>German Short Haired Pointer</v>
          </cell>
          <cell r="C108" t="str">
            <v>Working</v>
          </cell>
          <cell r="D108" t="str">
            <v>Gun</v>
          </cell>
          <cell r="E108">
            <v>29</v>
          </cell>
          <cell r="F108" t="str">
            <v>Affectionate, Boisterous, Bold, Cooperative, Intelligent, Trainable</v>
          </cell>
          <cell r="G108">
            <v>700</v>
          </cell>
          <cell r="H108">
            <v>17</v>
          </cell>
          <cell r="I108">
            <v>3</v>
          </cell>
          <cell r="M108">
            <v>10</v>
          </cell>
        </row>
        <row r="109">
          <cell r="A109" t="str">
            <v>German Spitz</v>
          </cell>
          <cell r="C109" t="str">
            <v>Non Sporting</v>
          </cell>
          <cell r="D109" t="str">
            <v>Northern</v>
          </cell>
          <cell r="E109">
            <v>8</v>
          </cell>
          <cell r="F109" t="str">
            <v>Alert, Energetic, Friendly, Independent, Intelligent, Protective</v>
          </cell>
          <cell r="G109">
            <v>700</v>
          </cell>
          <cell r="I109">
            <v>4</v>
          </cell>
          <cell r="M109">
            <v>118</v>
          </cell>
        </row>
        <row r="110">
          <cell r="A110" t="str">
            <v>German Wirehaired Pointer</v>
          </cell>
          <cell r="C110" t="str">
            <v>Sporting</v>
          </cell>
          <cell r="D110" t="str">
            <v>Gun</v>
          </cell>
          <cell r="E110">
            <v>30</v>
          </cell>
          <cell r="F110" t="str">
            <v>Active, Affectionate, Friendly, Intelligent, Loyal, Willful, Responsive</v>
          </cell>
          <cell r="G110">
            <v>800</v>
          </cell>
          <cell r="H110">
            <v>44</v>
          </cell>
          <cell r="I110">
            <v>6</v>
          </cell>
          <cell r="M110">
            <v>62</v>
          </cell>
        </row>
        <row r="111">
          <cell r="A111" t="str">
            <v>Giant Schnauzer</v>
          </cell>
          <cell r="C111" t="str">
            <v>Working</v>
          </cell>
          <cell r="D111" t="str">
            <v>Companion</v>
          </cell>
          <cell r="E111">
            <v>38</v>
          </cell>
          <cell r="F111" t="str">
            <v>Dominant, Intelligent, Kind, Loyal, Powerful, Strong-willed</v>
          </cell>
          <cell r="G111">
            <v>1250</v>
          </cell>
          <cell r="H111">
            <v>28</v>
          </cell>
          <cell r="I111">
            <v>6</v>
          </cell>
          <cell r="M111">
            <v>80</v>
          </cell>
        </row>
        <row r="112">
          <cell r="A112" t="str">
            <v>Glen of Imaal Terrier</v>
          </cell>
          <cell r="C112" t="str">
            <v>Terrier</v>
          </cell>
          <cell r="D112" t="str">
            <v>Terrier</v>
          </cell>
          <cell r="E112">
            <v>16</v>
          </cell>
          <cell r="F112" t="str">
            <v>Active, Agile, Courageous, Gentle, Loyal, Spirited</v>
          </cell>
          <cell r="G112">
            <v>900</v>
          </cell>
          <cell r="I112">
            <v>3</v>
          </cell>
          <cell r="M112">
            <v>158</v>
          </cell>
        </row>
        <row r="113">
          <cell r="A113" t="str">
            <v>Golden Retriever</v>
          </cell>
          <cell r="C113" t="str">
            <v>Sporting</v>
          </cell>
          <cell r="D113" t="str">
            <v>Gun</v>
          </cell>
          <cell r="E113">
            <v>32</v>
          </cell>
          <cell r="F113" t="str">
            <v>Confident, Friendly, Intelligent, Kind, Reliable, Trustworthy</v>
          </cell>
          <cell r="G113">
            <v>1500</v>
          </cell>
          <cell r="H113">
            <v>4</v>
          </cell>
          <cell r="I113">
            <v>3</v>
          </cell>
          <cell r="L113">
            <v>6</v>
          </cell>
          <cell r="M113">
            <v>3</v>
          </cell>
        </row>
        <row r="114">
          <cell r="A114" t="str">
            <v>Gordon Setter</v>
          </cell>
          <cell r="C114" t="str">
            <v>Sporting</v>
          </cell>
          <cell r="D114" t="str">
            <v>Gun</v>
          </cell>
          <cell r="E114">
            <v>31</v>
          </cell>
          <cell r="F114" t="str">
            <v>Alert, Confident, Eager, Fearless, Loyal, Intelligent</v>
          </cell>
          <cell r="G114">
            <v>900</v>
          </cell>
          <cell r="H114">
            <v>34</v>
          </cell>
          <cell r="I114">
            <v>4</v>
          </cell>
          <cell r="M114">
            <v>104</v>
          </cell>
        </row>
        <row r="115">
          <cell r="A115" t="str">
            <v>Great Dane</v>
          </cell>
          <cell r="C115" t="str">
            <v>Working</v>
          </cell>
          <cell r="D115" t="str">
            <v>Guardian</v>
          </cell>
          <cell r="E115">
            <v>77</v>
          </cell>
          <cell r="F115" t="str">
            <v>Friendly, Confident, Devoted, Intelligent, Gentle, Loving, Reserved</v>
          </cell>
          <cell r="G115">
            <v>1000</v>
          </cell>
          <cell r="H115">
            <v>48</v>
          </cell>
          <cell r="I115">
            <v>5</v>
          </cell>
          <cell r="M115">
            <v>14</v>
          </cell>
        </row>
        <row r="116">
          <cell r="A116" t="str">
            <v>Great Pyrenees</v>
          </cell>
          <cell r="C116" t="str">
            <v>Working</v>
          </cell>
          <cell r="D116" t="str">
            <v>Guardian</v>
          </cell>
          <cell r="E116">
            <v>45</v>
          </cell>
          <cell r="F116" t="str">
            <v>Affectionate, Confident, Fearless, Gentle, Patient, Strong-willed</v>
          </cell>
          <cell r="G116">
            <v>800</v>
          </cell>
          <cell r="H116">
            <v>64</v>
          </cell>
          <cell r="I116">
            <v>6</v>
          </cell>
          <cell r="M116">
            <v>66</v>
          </cell>
        </row>
        <row r="117">
          <cell r="A117" t="str">
            <v>Greater Swiss Mountain Dog</v>
          </cell>
          <cell r="C117" t="str">
            <v>Working</v>
          </cell>
          <cell r="D117" t="str">
            <v>Guardian</v>
          </cell>
          <cell r="E117">
            <v>60</v>
          </cell>
          <cell r="F117" t="str">
            <v>Alert, Devoted, Fearless, Good-natured, Protective, Self-confident</v>
          </cell>
          <cell r="G117">
            <v>2250</v>
          </cell>
          <cell r="I117">
            <v>5</v>
          </cell>
          <cell r="M117">
            <v>75</v>
          </cell>
        </row>
        <row r="118">
          <cell r="A118" t="str">
            <v>Greyhound</v>
          </cell>
          <cell r="C118" t="str">
            <v>Hound</v>
          </cell>
          <cell r="D118" t="str">
            <v>Sight</v>
          </cell>
          <cell r="E118">
            <v>33</v>
          </cell>
          <cell r="F118" t="str">
            <v>Intelligent, Gentle, Affectionate, Athletic, Even-tempered, Quiet</v>
          </cell>
          <cell r="G118">
            <v>650</v>
          </cell>
          <cell r="H118">
            <v>46</v>
          </cell>
          <cell r="I118">
            <v>3</v>
          </cell>
          <cell r="M118">
            <v>156</v>
          </cell>
        </row>
        <row r="119">
          <cell r="A119" t="str">
            <v>Harrier</v>
          </cell>
          <cell r="C119" t="str">
            <v>Hound</v>
          </cell>
          <cell r="D119" t="str">
            <v>Scenthound</v>
          </cell>
          <cell r="E119">
            <v>22</v>
          </cell>
          <cell r="F119" t="str">
            <v>Active, Cheerful, Friendly, Outgoing, Sweet-tempered, Tolerant</v>
          </cell>
          <cell r="G119">
            <v>350</v>
          </cell>
          <cell r="I119">
            <v>2</v>
          </cell>
          <cell r="M119">
            <v>183</v>
          </cell>
        </row>
        <row r="120">
          <cell r="A120" t="str">
            <v>Havanese</v>
          </cell>
          <cell r="C120" t="str">
            <v>Toy</v>
          </cell>
          <cell r="D120" t="str">
            <v>Companion</v>
          </cell>
          <cell r="E120">
            <v>5</v>
          </cell>
          <cell r="F120" t="str">
            <v>Affectionate, Companionable, Gentle, Intelligent, Playful, Responsive</v>
          </cell>
          <cell r="G120">
            <v>1050</v>
          </cell>
          <cell r="I120">
            <v>3</v>
          </cell>
          <cell r="M120">
            <v>23</v>
          </cell>
        </row>
        <row r="121">
          <cell r="A121" t="str">
            <v>Hound</v>
          </cell>
          <cell r="C121" t="str">
            <v>Hound</v>
          </cell>
          <cell r="D121" t="str">
            <v>Scenthound</v>
          </cell>
          <cell r="E121">
            <v>32</v>
          </cell>
          <cell r="F121" t="str">
            <v>Independent, Intelligent, Kind, Loving, Loyal, Sweet-tempered</v>
          </cell>
          <cell r="G121">
            <v>500</v>
          </cell>
          <cell r="H121">
            <v>46</v>
          </cell>
          <cell r="I121">
            <v>2</v>
          </cell>
          <cell r="M121">
            <v>187</v>
          </cell>
        </row>
        <row r="122">
          <cell r="A122" t="str">
            <v>Hovawart</v>
          </cell>
          <cell r="C122" t="str">
            <v>Working</v>
          </cell>
          <cell r="D122" t="str">
            <v>Guardian</v>
          </cell>
          <cell r="E122">
            <v>38</v>
          </cell>
          <cell r="F122" t="str">
            <v>Watchful, Even-tempered, Reserved, Active, Devoted</v>
          </cell>
          <cell r="G122">
            <v>1100</v>
          </cell>
          <cell r="I122">
            <v>6</v>
          </cell>
        </row>
        <row r="123">
          <cell r="A123" t="str">
            <v>Husky</v>
          </cell>
          <cell r="C123" t="str">
            <v>Working</v>
          </cell>
          <cell r="D123" t="str">
            <v>Northern</v>
          </cell>
          <cell r="E123">
            <v>24</v>
          </cell>
          <cell r="F123" t="str">
            <v>Alert, Friendly, Gentle, Intelligent, Outgoing</v>
          </cell>
          <cell r="G123">
            <v>950</v>
          </cell>
          <cell r="H123">
            <v>45</v>
          </cell>
          <cell r="I123">
            <v>1</v>
          </cell>
          <cell r="M123">
            <v>12</v>
          </cell>
        </row>
        <row r="124">
          <cell r="A124" t="str">
            <v>Ibizan Hound</v>
          </cell>
          <cell r="C124" t="str">
            <v>Hound</v>
          </cell>
          <cell r="D124" t="str">
            <v>Sight</v>
          </cell>
          <cell r="E124">
            <v>22</v>
          </cell>
          <cell r="F124" t="str">
            <v>Active, Clownish, Engaging, Independent, Intelligent, Stubborn</v>
          </cell>
          <cell r="G124">
            <v>1000</v>
          </cell>
          <cell r="H124">
            <v>53</v>
          </cell>
          <cell r="I124">
            <v>3</v>
          </cell>
          <cell r="M124">
            <v>165</v>
          </cell>
        </row>
        <row r="125">
          <cell r="A125" t="str">
            <v>Illyrian Sheepdog</v>
          </cell>
          <cell r="C125" t="str">
            <v>Herding</v>
          </cell>
          <cell r="D125" t="str">
            <v>Herding</v>
          </cell>
          <cell r="E125">
            <v>40</v>
          </cell>
          <cell r="F125" t="str">
            <v>Independent, Reliable, Devoted, Protective</v>
          </cell>
          <cell r="G125">
            <v>1500</v>
          </cell>
          <cell r="I125">
            <v>6</v>
          </cell>
        </row>
        <row r="126">
          <cell r="A126" t="str">
            <v>Irish Setter</v>
          </cell>
          <cell r="C126" t="str">
            <v>Sporting</v>
          </cell>
          <cell r="D126" t="str">
            <v>Gun</v>
          </cell>
          <cell r="E126">
            <v>32</v>
          </cell>
          <cell r="F126" t="str">
            <v>Affectionate, Companionable, Energetic, Independent, Lively, Playful, Intelligent</v>
          </cell>
          <cell r="G126">
            <v>900</v>
          </cell>
          <cell r="H126">
            <v>35</v>
          </cell>
          <cell r="I126">
            <v>3</v>
          </cell>
          <cell r="M126">
            <v>72</v>
          </cell>
        </row>
        <row r="127">
          <cell r="A127" t="str">
            <v>Irish Terrier</v>
          </cell>
          <cell r="C127" t="str">
            <v>Terrier</v>
          </cell>
          <cell r="D127" t="str">
            <v>Terrier</v>
          </cell>
          <cell r="E127">
            <v>12</v>
          </cell>
          <cell r="F127" t="str">
            <v>Dominant, Intelligent, Lively, Protective, Respectful, Trainable</v>
          </cell>
          <cell r="G127">
            <v>700</v>
          </cell>
          <cell r="H127">
            <v>53</v>
          </cell>
          <cell r="I127">
            <v>5</v>
          </cell>
          <cell r="M127">
            <v>114</v>
          </cell>
        </row>
        <row r="128">
          <cell r="A128" t="str">
            <v>Irish Water Spaniel</v>
          </cell>
          <cell r="C128" t="str">
            <v>Sporting</v>
          </cell>
          <cell r="D128" t="str">
            <v>Gun</v>
          </cell>
          <cell r="E128">
            <v>25</v>
          </cell>
          <cell r="F128" t="str">
            <v>Active, Alert, Clownish, Inquisitive, Intelligent, Quick</v>
          </cell>
          <cell r="G128">
            <v>900</v>
          </cell>
          <cell r="H128">
            <v>24</v>
          </cell>
          <cell r="I128">
            <v>4</v>
          </cell>
          <cell r="M128">
            <v>164</v>
          </cell>
        </row>
        <row r="129">
          <cell r="A129" t="str">
            <v>Irish Wolfhound</v>
          </cell>
          <cell r="C129" t="str">
            <v>Hound</v>
          </cell>
          <cell r="D129" t="str">
            <v>Scenthound</v>
          </cell>
          <cell r="E129">
            <v>55</v>
          </cell>
          <cell r="F129" t="str">
            <v>Dignified, Generous, Loyal, Patient, Sweet-tempered, Thoughtful, Intelligent</v>
          </cell>
          <cell r="G129">
            <v>1900</v>
          </cell>
          <cell r="H129">
            <v>41</v>
          </cell>
          <cell r="I129">
            <v>3</v>
          </cell>
          <cell r="M129">
            <v>73</v>
          </cell>
        </row>
        <row r="130">
          <cell r="A130" t="str">
            <v>Italian Greyhound</v>
          </cell>
          <cell r="C130" t="str">
            <v>Toy</v>
          </cell>
          <cell r="D130" t="str">
            <v>Companion</v>
          </cell>
          <cell r="E130">
            <v>4</v>
          </cell>
          <cell r="F130" t="str">
            <v>Affectionate, Agile, Athletic, Companionable, Intelligent, Mischevious</v>
          </cell>
          <cell r="G130">
            <v>900</v>
          </cell>
          <cell r="H130">
            <v>60</v>
          </cell>
          <cell r="I130">
            <v>3</v>
          </cell>
          <cell r="M130">
            <v>74</v>
          </cell>
        </row>
        <row r="131">
          <cell r="A131" t="str">
            <v>Italian Spinone</v>
          </cell>
          <cell r="C131" t="str">
            <v>Sporting</v>
          </cell>
          <cell r="D131" t="str">
            <v>Gun</v>
          </cell>
          <cell r="E131">
            <v>33</v>
          </cell>
          <cell r="F131" t="str">
            <v>Friendly, Loyal, Affectionate, Docile, Gentle, Patient</v>
          </cell>
          <cell r="G131">
            <v>1750</v>
          </cell>
          <cell r="I131">
            <v>3</v>
          </cell>
          <cell r="M131">
            <v>111</v>
          </cell>
        </row>
        <row r="132">
          <cell r="A132" t="str">
            <v>Jack Russell Terrier</v>
          </cell>
          <cell r="C132" t="str">
            <v>Terrier</v>
          </cell>
          <cell r="D132" t="str">
            <v>Terrier</v>
          </cell>
          <cell r="E132">
            <v>7</v>
          </cell>
          <cell r="F132" t="str">
            <v>Alert, Cheerful, Courageous, Energetic, Independent</v>
          </cell>
          <cell r="G132">
            <v>850</v>
          </cell>
          <cell r="I132">
            <v>4</v>
          </cell>
          <cell r="M132">
            <v>78</v>
          </cell>
        </row>
        <row r="133">
          <cell r="A133" t="str">
            <v>Jack Russell Terrier (Parson Russell Terrier)</v>
          </cell>
          <cell r="C133" t="str">
            <v>Terrier</v>
          </cell>
          <cell r="D133" t="str">
            <v>Terrier</v>
          </cell>
          <cell r="E133">
            <v>7</v>
          </cell>
          <cell r="F133" t="str">
            <v>Energetic, Bold, Eager, Happy, Intelligent, Obedient</v>
          </cell>
          <cell r="G133">
            <v>500</v>
          </cell>
          <cell r="I133">
            <v>3</v>
          </cell>
          <cell r="M133">
            <v>119</v>
          </cell>
        </row>
        <row r="134">
          <cell r="A134" t="str">
            <v>Japanese Chin</v>
          </cell>
          <cell r="B134" t="str">
            <v>Japanese Spaniel</v>
          </cell>
          <cell r="C134" t="str">
            <v>Toy</v>
          </cell>
          <cell r="D134" t="str">
            <v>Companion</v>
          </cell>
          <cell r="E134">
            <v>5</v>
          </cell>
          <cell r="F134" t="str">
            <v>Alert, Cat-like, Independent, Intelligent, Loving, Loyal, Playful</v>
          </cell>
          <cell r="G134">
            <v>400</v>
          </cell>
          <cell r="H134">
            <v>62</v>
          </cell>
          <cell r="I134">
            <v>3</v>
          </cell>
          <cell r="M134">
            <v>108</v>
          </cell>
        </row>
        <row r="135">
          <cell r="A135" t="str">
            <v>Jindo</v>
          </cell>
          <cell r="C135" t="str">
            <v>Sporting</v>
          </cell>
          <cell r="D135" t="str">
            <v>Northern</v>
          </cell>
          <cell r="E135">
            <v>20</v>
          </cell>
          <cell r="F135" t="str">
            <v>Active, Bold, Brave, Faithful, Intelligent, Loyal</v>
          </cell>
          <cell r="G135">
            <v>350</v>
          </cell>
          <cell r="I135">
            <v>4</v>
          </cell>
        </row>
        <row r="136">
          <cell r="A136" t="str">
            <v>Kai Dog</v>
          </cell>
          <cell r="C136" t="str">
            <v>Non Sporting</v>
          </cell>
          <cell r="D136" t="str">
            <v>Northern</v>
          </cell>
          <cell r="E136">
            <v>18</v>
          </cell>
          <cell r="F136" t="str">
            <v>Intelligent, Agile, Alert, Brave</v>
          </cell>
          <cell r="G136">
            <v>3000</v>
          </cell>
          <cell r="I136">
            <v>5</v>
          </cell>
        </row>
        <row r="137">
          <cell r="A137" t="str">
            <v>Karelian Bear Dog</v>
          </cell>
          <cell r="C137" t="str">
            <v>Sporting</v>
          </cell>
          <cell r="D137" t="str">
            <v>Northern</v>
          </cell>
          <cell r="E137">
            <v>22</v>
          </cell>
          <cell r="F137" t="str">
            <v>Brave, Cautious, Loyal, Independent, Tenacious, Territorial</v>
          </cell>
          <cell r="G137">
            <v>1100</v>
          </cell>
          <cell r="I137">
            <v>4</v>
          </cell>
        </row>
        <row r="138">
          <cell r="A138" t="str">
            <v>Keeshond</v>
          </cell>
          <cell r="C138" t="str">
            <v>Non Sporting</v>
          </cell>
          <cell r="D138" t="str">
            <v>Northern</v>
          </cell>
          <cell r="E138">
            <v>18</v>
          </cell>
          <cell r="F138" t="str">
            <v>Agile, Bright, Obedient, Playful, Quick, Sturdy, Intelligent</v>
          </cell>
          <cell r="G138">
            <v>900</v>
          </cell>
          <cell r="H138">
            <v>16</v>
          </cell>
          <cell r="I138">
            <v>4</v>
          </cell>
          <cell r="M138">
            <v>87</v>
          </cell>
        </row>
        <row r="139">
          <cell r="A139" t="str">
            <v>Kerry Blue Terrier</v>
          </cell>
          <cell r="C139" t="str">
            <v>Terrier</v>
          </cell>
          <cell r="D139" t="str">
            <v>Terrier</v>
          </cell>
          <cell r="E139">
            <v>17</v>
          </cell>
          <cell r="F139" t="str">
            <v>Affectionate, Alert, Gentle, Loyal, Spirited, Strong-willed, Intelligent</v>
          </cell>
          <cell r="G139">
            <v>550</v>
          </cell>
          <cell r="H139">
            <v>35</v>
          </cell>
          <cell r="I139">
            <v>5</v>
          </cell>
          <cell r="M139">
            <v>129</v>
          </cell>
        </row>
        <row r="140">
          <cell r="A140" t="str">
            <v>Kishu</v>
          </cell>
          <cell r="C140" t="str">
            <v>Sporting</v>
          </cell>
          <cell r="D140" t="str">
            <v>Northern</v>
          </cell>
          <cell r="E140">
            <v>20</v>
          </cell>
          <cell r="F140" t="str">
            <v>Alert, Dignified, Docile, Faithful, Noble</v>
          </cell>
          <cell r="G140">
            <v>400</v>
          </cell>
          <cell r="I140">
            <v>4</v>
          </cell>
        </row>
        <row r="141">
          <cell r="A141" t="str">
            <v>Klee Kai</v>
          </cell>
          <cell r="C141" t="str">
            <v>Non Sporting</v>
          </cell>
          <cell r="D141" t="str">
            <v>Northern</v>
          </cell>
          <cell r="E141">
            <v>7</v>
          </cell>
          <cell r="F141" t="str">
            <v>Active, Agile, Curious, Intelligent, Loyal, Quick, Territorial</v>
          </cell>
          <cell r="G141">
            <v>1250</v>
          </cell>
          <cell r="I141">
            <v>5</v>
          </cell>
        </row>
        <row r="142">
          <cell r="A142" t="str">
            <v>Komondor</v>
          </cell>
          <cell r="C142" t="str">
            <v>Working</v>
          </cell>
          <cell r="D142" t="str">
            <v>Guardian</v>
          </cell>
          <cell r="E142">
            <v>59</v>
          </cell>
          <cell r="F142" t="str">
            <v>Affectionate, Calm, Fearless, Gentle, Independent, Steady</v>
          </cell>
          <cell r="G142">
            <v>1000</v>
          </cell>
          <cell r="I142">
            <v>6</v>
          </cell>
          <cell r="M142">
            <v>163</v>
          </cell>
        </row>
        <row r="143">
          <cell r="A143" t="str">
            <v>Kuvasz</v>
          </cell>
          <cell r="C143" t="str">
            <v>Working</v>
          </cell>
          <cell r="D143" t="str">
            <v>Guardian</v>
          </cell>
          <cell r="E143">
            <v>49</v>
          </cell>
          <cell r="F143" t="str">
            <v>Clownish, Independent, Intelligent, Loyal, Patient, Protective</v>
          </cell>
          <cell r="G143">
            <v>1350</v>
          </cell>
          <cell r="H143">
            <v>42</v>
          </cell>
          <cell r="I143">
            <v>6</v>
          </cell>
          <cell r="M143">
            <v>157</v>
          </cell>
        </row>
        <row r="144">
          <cell r="A144" t="str">
            <v>Kyi Leo</v>
          </cell>
          <cell r="C144" t="str">
            <v>Non Sporting</v>
          </cell>
          <cell r="D144" t="str">
            <v>Companion</v>
          </cell>
          <cell r="E144">
            <v>5</v>
          </cell>
          <cell r="F144" t="str">
            <v>Active, Calm, Forgiving, Obedient, Playful, Quiet</v>
          </cell>
          <cell r="G144">
            <v>700</v>
          </cell>
          <cell r="I144">
            <v>3</v>
          </cell>
        </row>
        <row r="145">
          <cell r="A145" t="str">
            <v>Labrador Retriever</v>
          </cell>
          <cell r="C145" t="str">
            <v>Sporting</v>
          </cell>
          <cell r="D145" t="str">
            <v>Gun</v>
          </cell>
          <cell r="E145">
            <v>32</v>
          </cell>
          <cell r="F145" t="str">
            <v>Affectionate, Alert, Cheerful, Energetic, Friendly, Gentle, Intelligent, Loving, Loyal, Outgoing, Playful, Responsive, Social</v>
          </cell>
          <cell r="G145">
            <v>1500</v>
          </cell>
          <cell r="H145">
            <v>7</v>
          </cell>
          <cell r="I145">
            <v>3</v>
          </cell>
          <cell r="M145">
            <v>1</v>
          </cell>
        </row>
        <row r="146">
          <cell r="A146" t="str">
            <v>Lakeland Terrier</v>
          </cell>
          <cell r="C146" t="str">
            <v>Terrier</v>
          </cell>
          <cell r="D146" t="str">
            <v>Terrier</v>
          </cell>
          <cell r="E146">
            <v>8</v>
          </cell>
          <cell r="F146" t="str">
            <v>Independent, Bold, Confident, Friendly, Intelligent, Trainable</v>
          </cell>
          <cell r="G146">
            <v>1500</v>
          </cell>
          <cell r="H146">
            <v>62</v>
          </cell>
          <cell r="I146">
            <v>3</v>
          </cell>
          <cell r="M146">
            <v>138</v>
          </cell>
        </row>
        <row r="147">
          <cell r="A147" t="str">
            <v>Lancashire Heeler</v>
          </cell>
          <cell r="C147" t="str">
            <v>Herding</v>
          </cell>
          <cell r="D147" t="str">
            <v>Herding</v>
          </cell>
          <cell r="E147">
            <v>5</v>
          </cell>
          <cell r="F147" t="str">
            <v>Alert, Clever, Friendly, Intelligent</v>
          </cell>
          <cell r="G147">
            <v>700</v>
          </cell>
          <cell r="I147">
            <v>3</v>
          </cell>
        </row>
        <row r="148">
          <cell r="A148" t="str">
            <v>Leonberger</v>
          </cell>
          <cell r="C148" t="str">
            <v>Working</v>
          </cell>
          <cell r="D148" t="str">
            <v>Guardian</v>
          </cell>
          <cell r="E148">
            <v>64</v>
          </cell>
          <cell r="F148" t="str">
            <v>Adaptable, Companionable, Fearless, Loving, Loyal, Obedient</v>
          </cell>
          <cell r="G148">
            <v>1750</v>
          </cell>
          <cell r="I148">
            <v>5</v>
          </cell>
          <cell r="M148">
            <v>100</v>
          </cell>
        </row>
        <row r="149">
          <cell r="A149" t="str">
            <v>Lhasa Apso</v>
          </cell>
          <cell r="C149" t="str">
            <v>Non Sporting</v>
          </cell>
          <cell r="D149" t="str">
            <v>Companion</v>
          </cell>
          <cell r="E149">
            <v>6</v>
          </cell>
          <cell r="F149" t="str">
            <v>Alert, Assertive, Devoted, Friendly, Intelligent, Lively, Obedient, Playful, Spirited, Steady</v>
          </cell>
          <cell r="G149">
            <v>600</v>
          </cell>
          <cell r="H149">
            <v>68</v>
          </cell>
          <cell r="I149">
            <v>3</v>
          </cell>
          <cell r="M149">
            <v>77</v>
          </cell>
        </row>
        <row r="150">
          <cell r="A150" t="str">
            <v>Lowchen</v>
          </cell>
          <cell r="C150" t="str">
            <v>Non Sporting</v>
          </cell>
          <cell r="D150" t="str">
            <v>Companion</v>
          </cell>
          <cell r="E150">
            <v>6</v>
          </cell>
          <cell r="F150" t="str">
            <v>Active, Familial, Friendly, Happy, Playful</v>
          </cell>
          <cell r="G150">
            <v>400</v>
          </cell>
          <cell r="I150">
            <v>3</v>
          </cell>
          <cell r="M150">
            <v>169</v>
          </cell>
        </row>
        <row r="151">
          <cell r="A151" t="str">
            <v>Maltese</v>
          </cell>
          <cell r="B151" t="str">
            <v>Maltese Dog</v>
          </cell>
          <cell r="C151" t="str">
            <v>Toy</v>
          </cell>
          <cell r="D151" t="str">
            <v>Companion</v>
          </cell>
          <cell r="E151">
            <v>4</v>
          </cell>
          <cell r="F151" t="str">
            <v>Active, Docile, Easygoing, Gentle, Intelligent, Playful, Responsive, Sweet-tempered</v>
          </cell>
          <cell r="G151">
            <v>700</v>
          </cell>
          <cell r="H151">
            <v>59</v>
          </cell>
          <cell r="I151">
            <v>3</v>
          </cell>
          <cell r="M151">
            <v>33</v>
          </cell>
        </row>
        <row r="152">
          <cell r="A152" t="str">
            <v>Manchester Terrier</v>
          </cell>
          <cell r="C152" t="str">
            <v>Terrier</v>
          </cell>
          <cell r="D152" t="str">
            <v>Terrier</v>
          </cell>
          <cell r="E152">
            <v>6</v>
          </cell>
          <cell r="F152" t="str">
            <v>Active, Alert, Devoted, Discerning, Quiet, Loyal, Intelligent</v>
          </cell>
          <cell r="G152">
            <v>800</v>
          </cell>
          <cell r="H152">
            <v>32</v>
          </cell>
          <cell r="I152">
            <v>3</v>
          </cell>
          <cell r="M152">
            <v>135</v>
          </cell>
        </row>
        <row r="153">
          <cell r="A153" t="str">
            <v>Maremma Sheepdog</v>
          </cell>
          <cell r="C153" t="str">
            <v>Working</v>
          </cell>
          <cell r="D153" t="str">
            <v>Guardian</v>
          </cell>
          <cell r="E153">
            <v>38</v>
          </cell>
          <cell r="F153" t="str">
            <v>Alert, Determined, Dignified, Friendly, Intelligent, Loyal</v>
          </cell>
          <cell r="G153">
            <v>700</v>
          </cell>
          <cell r="I153">
            <v>4</v>
          </cell>
        </row>
        <row r="154">
          <cell r="A154" t="str">
            <v>Mastiff</v>
          </cell>
          <cell r="C154" t="str">
            <v>Working</v>
          </cell>
          <cell r="D154" t="str">
            <v>Guardian</v>
          </cell>
          <cell r="E154">
            <v>90</v>
          </cell>
          <cell r="F154" t="str">
            <v>Affectionate, Alert, Cheerful, Courageous, Intelligent, Loyal, Protective</v>
          </cell>
          <cell r="G154">
            <v>1350</v>
          </cell>
          <cell r="H154">
            <v>72</v>
          </cell>
          <cell r="I154">
            <v>6</v>
          </cell>
          <cell r="M154">
            <v>28</v>
          </cell>
        </row>
        <row r="155">
          <cell r="A155" t="str">
            <v>McNab</v>
          </cell>
          <cell r="C155" t="str">
            <v>Herding</v>
          </cell>
          <cell r="D155" t="str">
            <v>Herding</v>
          </cell>
          <cell r="E155">
            <v>23</v>
          </cell>
          <cell r="F155" t="str">
            <v>Friendly, Hard-working, Obedient, Protective, Sociable, Well-mannered</v>
          </cell>
          <cell r="G155">
            <v>400</v>
          </cell>
          <cell r="I155">
            <v>3</v>
          </cell>
        </row>
        <row r="156">
          <cell r="A156" t="str">
            <v>Miniature Pinscher</v>
          </cell>
          <cell r="C156" t="str">
            <v>Toy</v>
          </cell>
          <cell r="D156" t="str">
            <v>Companion</v>
          </cell>
          <cell r="E156">
            <v>5</v>
          </cell>
          <cell r="F156" t="str">
            <v>Clever, Energetic, Friendly, Outgoing, Playful, Responsive, Intelligent</v>
          </cell>
          <cell r="G156">
            <v>500</v>
          </cell>
          <cell r="H156">
            <v>37</v>
          </cell>
          <cell r="I156">
            <v>3</v>
          </cell>
          <cell r="M156">
            <v>71</v>
          </cell>
        </row>
        <row r="157">
          <cell r="A157" t="str">
            <v>Mountain Cur</v>
          </cell>
          <cell r="C157" t="str">
            <v>Working</v>
          </cell>
          <cell r="D157" t="str">
            <v>Scenthound</v>
          </cell>
          <cell r="E157">
            <v>20</v>
          </cell>
          <cell r="F157" t="str">
            <v>Intelligent, Protective</v>
          </cell>
          <cell r="G157">
            <v>400</v>
          </cell>
          <cell r="I157">
            <v>6</v>
          </cell>
        </row>
        <row r="158">
          <cell r="A158" t="str">
            <v>Mountain Dog</v>
          </cell>
          <cell r="C158" t="str">
            <v>Working</v>
          </cell>
          <cell r="D158" t="str">
            <v>Guardian</v>
          </cell>
          <cell r="E158">
            <v>44</v>
          </cell>
          <cell r="F158" t="str">
            <v>Affectionate, Faithful, Intelligent, Loyal</v>
          </cell>
          <cell r="G158">
            <v>900</v>
          </cell>
          <cell r="H158">
            <v>22</v>
          </cell>
          <cell r="I158">
            <v>5</v>
          </cell>
          <cell r="M158">
            <v>25</v>
          </cell>
        </row>
        <row r="159">
          <cell r="A159" t="str">
            <v>Munsterlander</v>
          </cell>
          <cell r="C159" t="str">
            <v>Sporting</v>
          </cell>
          <cell r="D159" t="str">
            <v>Gun</v>
          </cell>
          <cell r="E159">
            <v>20</v>
          </cell>
          <cell r="F159" t="str">
            <v>Intelligent, Trainable, Attentive, Mischevious</v>
          </cell>
          <cell r="G159">
            <v>1500</v>
          </cell>
          <cell r="I159">
            <v>3</v>
          </cell>
        </row>
        <row r="160">
          <cell r="A160" t="str">
            <v>Neapolitan Mastiff</v>
          </cell>
          <cell r="C160" t="str">
            <v>Working</v>
          </cell>
          <cell r="D160" t="str">
            <v>Guardian</v>
          </cell>
          <cell r="E160">
            <v>60</v>
          </cell>
          <cell r="F160" t="str">
            <v>Protective, Dominant, Fearless, Obedient, Stubborn, Trainable</v>
          </cell>
          <cell r="G160">
            <v>1750</v>
          </cell>
          <cell r="I160">
            <v>6</v>
          </cell>
          <cell r="K160">
            <v>1</v>
          </cell>
          <cell r="M160">
            <v>107</v>
          </cell>
        </row>
        <row r="161">
          <cell r="A161" t="str">
            <v>New Guinea Singing Dog</v>
          </cell>
          <cell r="C161" t="str">
            <v>Southern</v>
          </cell>
          <cell r="D161" t="str">
            <v>Southern</v>
          </cell>
          <cell r="E161">
            <v>11</v>
          </cell>
          <cell r="F161" t="str">
            <v>Active, Affectionate, Alert, Gentle, Lively</v>
          </cell>
          <cell r="G161">
            <v>3000</v>
          </cell>
          <cell r="I161">
            <v>3</v>
          </cell>
        </row>
        <row r="162">
          <cell r="A162" t="str">
            <v>Newfoundland Dog</v>
          </cell>
          <cell r="B162" t="str">
            <v>Newfoundland</v>
          </cell>
          <cell r="C162" t="str">
            <v>Working</v>
          </cell>
          <cell r="D162" t="str">
            <v>Guardian</v>
          </cell>
          <cell r="E162">
            <v>65</v>
          </cell>
          <cell r="F162" t="str">
            <v>Cheerful, Courageous, Intelligent, Loyal, Social, Sweet, Gentle</v>
          </cell>
          <cell r="G162">
            <v>1750</v>
          </cell>
          <cell r="H162">
            <v>34</v>
          </cell>
          <cell r="I162">
            <v>5</v>
          </cell>
          <cell r="M162">
            <v>36</v>
          </cell>
        </row>
        <row r="163">
          <cell r="A163" t="str">
            <v>Norfolk Terrier</v>
          </cell>
          <cell r="C163" t="str">
            <v>Terrier</v>
          </cell>
          <cell r="D163" t="str">
            <v>Terrier</v>
          </cell>
          <cell r="E163">
            <v>5</v>
          </cell>
          <cell r="F163" t="str">
            <v>Companionable, Fearless, Happy, Lovable, Self-confident, Spirited, Intelligent</v>
          </cell>
          <cell r="G163">
            <v>2250</v>
          </cell>
          <cell r="H163">
            <v>56</v>
          </cell>
          <cell r="I163">
            <v>3</v>
          </cell>
          <cell r="M163">
            <v>128</v>
          </cell>
        </row>
        <row r="164">
          <cell r="A164" t="str">
            <v>Norwegian Buhund</v>
          </cell>
          <cell r="C164" t="str">
            <v>Herding</v>
          </cell>
          <cell r="D164" t="str">
            <v>Northern</v>
          </cell>
          <cell r="E164">
            <v>16</v>
          </cell>
          <cell r="F164" t="str">
            <v>Agile, Courageous, Energetic, Friendly, Fun-loving</v>
          </cell>
          <cell r="G164">
            <v>900</v>
          </cell>
          <cell r="I164">
            <v>4</v>
          </cell>
          <cell r="M164">
            <v>170</v>
          </cell>
        </row>
        <row r="165">
          <cell r="A165" t="str">
            <v>Norwegian Elkhound</v>
          </cell>
          <cell r="C165" t="str">
            <v>Hound</v>
          </cell>
          <cell r="D165" t="str">
            <v>Northern</v>
          </cell>
          <cell r="E165">
            <v>26</v>
          </cell>
          <cell r="F165" t="str">
            <v>Alert, Bold, Hardy, Loyal, Playful, Strong-willed, Intelligent</v>
          </cell>
          <cell r="G165">
            <v>600</v>
          </cell>
          <cell r="H165">
            <v>36</v>
          </cell>
          <cell r="I165">
            <v>6</v>
          </cell>
          <cell r="M165">
            <v>91</v>
          </cell>
        </row>
        <row r="166">
          <cell r="A166" t="str">
            <v>Norwegian Lundehund</v>
          </cell>
          <cell r="C166" t="str">
            <v>Non Sporting</v>
          </cell>
          <cell r="D166" t="str">
            <v>Northern</v>
          </cell>
          <cell r="E166">
            <v>8</v>
          </cell>
          <cell r="F166" t="str">
            <v>Alert, Energetic, Loyal, Protective</v>
          </cell>
          <cell r="G166">
            <v>500</v>
          </cell>
          <cell r="I166">
            <v>4</v>
          </cell>
          <cell r="M166">
            <v>190</v>
          </cell>
        </row>
        <row r="167">
          <cell r="A167" t="str">
            <v>Norwich Terrier</v>
          </cell>
          <cell r="C167" t="str">
            <v>Terrier</v>
          </cell>
          <cell r="D167" t="str">
            <v>Terrier</v>
          </cell>
          <cell r="E167">
            <v>5</v>
          </cell>
          <cell r="F167" t="str">
            <v>Affectionate, Energetic, Hardy, Intelligent, Sensitive</v>
          </cell>
          <cell r="G167">
            <v>1700</v>
          </cell>
          <cell r="H167">
            <v>38</v>
          </cell>
          <cell r="I167">
            <v>3</v>
          </cell>
          <cell r="M167">
            <v>105</v>
          </cell>
        </row>
        <row r="168">
          <cell r="A168" t="str">
            <v>Nova Scotia Duck-Tolling Retriever</v>
          </cell>
          <cell r="C168" t="str">
            <v>Sporting</v>
          </cell>
          <cell r="D168" t="str">
            <v>Gun Dogs</v>
          </cell>
          <cell r="E168">
            <v>20</v>
          </cell>
          <cell r="F168" t="str">
            <v>Affectionate, Alert, Courageous, Energetic, Gentle, Playful, Responsive</v>
          </cell>
          <cell r="G168">
            <v>1900</v>
          </cell>
          <cell r="I168">
            <v>5</v>
          </cell>
          <cell r="M168">
            <v>89</v>
          </cell>
        </row>
        <row r="169">
          <cell r="A169" t="str">
            <v>Old English Sheepdog</v>
          </cell>
          <cell r="C169" t="str">
            <v>Herding</v>
          </cell>
          <cell r="D169" t="str">
            <v>Herding</v>
          </cell>
          <cell r="E169">
            <v>39</v>
          </cell>
          <cell r="F169" t="str">
            <v>Adaptable, Bubbly, Intelligent, Loving, Playful, Sociable, Protective</v>
          </cell>
          <cell r="G169">
            <v>1350</v>
          </cell>
          <cell r="H169">
            <v>63</v>
          </cell>
          <cell r="I169">
            <v>4</v>
          </cell>
          <cell r="M169">
            <v>70</v>
          </cell>
        </row>
        <row r="170">
          <cell r="A170" t="str">
            <v>Otterhound</v>
          </cell>
          <cell r="C170" t="str">
            <v>Hound</v>
          </cell>
          <cell r="D170" t="str">
            <v>Scenthound</v>
          </cell>
          <cell r="E170">
            <v>41</v>
          </cell>
          <cell r="F170" t="str">
            <v>Amiable, Boisterous, Even-tempered</v>
          </cell>
          <cell r="G170">
            <v>550</v>
          </cell>
          <cell r="H170">
            <v>46</v>
          </cell>
          <cell r="I170">
            <v>2</v>
          </cell>
          <cell r="M170">
            <v>186</v>
          </cell>
        </row>
        <row r="171">
          <cell r="A171" t="str">
            <v>Papillon</v>
          </cell>
          <cell r="C171" t="str">
            <v>Toy</v>
          </cell>
          <cell r="D171" t="str">
            <v>Companion</v>
          </cell>
          <cell r="E171">
            <v>5</v>
          </cell>
          <cell r="F171" t="str">
            <v>Alert, Energetic, Friendly, Happy, Hardy, Intelligent</v>
          </cell>
          <cell r="G171">
            <v>500</v>
          </cell>
          <cell r="H171">
            <v>8</v>
          </cell>
          <cell r="I171">
            <v>3</v>
          </cell>
          <cell r="M171">
            <v>53</v>
          </cell>
        </row>
        <row r="172">
          <cell r="A172" t="str">
            <v>Patterdale Terrier (Fell Terrier)</v>
          </cell>
          <cell r="C172" t="str">
            <v>Terrier</v>
          </cell>
          <cell r="D172" t="str">
            <v>Terrier</v>
          </cell>
          <cell r="E172">
            <v>6</v>
          </cell>
          <cell r="F172" t="str">
            <v>Bold, Confident, Energetic, Friendly, Inquisitive, Intelligent</v>
          </cell>
          <cell r="G172">
            <v>600</v>
          </cell>
          <cell r="I172">
            <v>3</v>
          </cell>
        </row>
        <row r="173">
          <cell r="A173" t="str">
            <v>Pekingese</v>
          </cell>
          <cell r="C173" t="str">
            <v>Toy</v>
          </cell>
          <cell r="D173" t="str">
            <v>Companion</v>
          </cell>
          <cell r="E173">
            <v>4</v>
          </cell>
          <cell r="F173" t="str">
            <v>Affectionate, Aggressive, Good-natured, Intelligent, Opinionated, Stubborn</v>
          </cell>
          <cell r="G173">
            <v>700</v>
          </cell>
          <cell r="H173">
            <v>73</v>
          </cell>
          <cell r="I173">
            <v>3</v>
          </cell>
          <cell r="M173">
            <v>88</v>
          </cell>
        </row>
        <row r="174">
          <cell r="A174" t="str">
            <v>Peruvian Inca Orchid</v>
          </cell>
          <cell r="C174" t="str">
            <v>Hound</v>
          </cell>
          <cell r="D174" t="str">
            <v>Sight</v>
          </cell>
          <cell r="E174">
            <v>10</v>
          </cell>
          <cell r="F174" t="str">
            <v>Affectionate, Alert, Intelligent, Lively, Noble, Protective</v>
          </cell>
          <cell r="G174">
            <v>500</v>
          </cell>
          <cell r="I174">
            <v>4</v>
          </cell>
        </row>
        <row r="175">
          <cell r="A175" t="str">
            <v>Petit Basset Griffon Vendeen</v>
          </cell>
          <cell r="C175" t="str">
            <v>Hound</v>
          </cell>
          <cell r="D175" t="str">
            <v>Scenthound</v>
          </cell>
          <cell r="E175">
            <v>16</v>
          </cell>
          <cell r="F175" t="str">
            <v>Active, Extroverted, Friendly, Happy, Independent, Lively, Intelligent</v>
          </cell>
          <cell r="G175">
            <v>1400</v>
          </cell>
          <cell r="H175">
            <v>62</v>
          </cell>
          <cell r="I175">
            <v>3</v>
          </cell>
          <cell r="M175">
            <v>160</v>
          </cell>
        </row>
        <row r="176">
          <cell r="A176" t="str">
            <v>Pharaoh Hound</v>
          </cell>
          <cell r="C176" t="str">
            <v>Hound</v>
          </cell>
          <cell r="D176" t="str">
            <v>Sight</v>
          </cell>
          <cell r="E176">
            <v>23</v>
          </cell>
          <cell r="F176" t="str">
            <v>Active, Affectionate, Intelligent, Playful, Sociable, Trainable</v>
          </cell>
          <cell r="G176">
            <v>1900</v>
          </cell>
          <cell r="H176">
            <v>37</v>
          </cell>
          <cell r="I176">
            <v>2</v>
          </cell>
          <cell r="M176">
            <v>174</v>
          </cell>
        </row>
        <row r="177">
          <cell r="A177" t="str">
            <v>Pit Bull Terrier</v>
          </cell>
          <cell r="C177" t="str">
            <v>Terrier</v>
          </cell>
          <cell r="D177" t="str">
            <v>Terrier</v>
          </cell>
          <cell r="E177">
            <v>23</v>
          </cell>
          <cell r="F177" t="str">
            <v>Affectionate, Aggressive, Clownish, Courageous, Friendly, Intelligent, Loyal, Obedient, Strong-willed, Stubborn</v>
          </cell>
          <cell r="G177">
            <v>600</v>
          </cell>
          <cell r="I177">
            <v>3</v>
          </cell>
          <cell r="K177">
            <v>1</v>
          </cell>
        </row>
        <row r="178">
          <cell r="A178" t="str">
            <v>Plott Hound</v>
          </cell>
          <cell r="C178" t="str">
            <v>Hound</v>
          </cell>
          <cell r="D178" t="str">
            <v>Scenthound</v>
          </cell>
          <cell r="E178">
            <v>26</v>
          </cell>
          <cell r="F178" t="str">
            <v>Alert, Bold, Courageous, Loyal</v>
          </cell>
          <cell r="G178">
            <v>400</v>
          </cell>
          <cell r="I178">
            <v>3</v>
          </cell>
          <cell r="M178">
            <v>166</v>
          </cell>
        </row>
        <row r="179">
          <cell r="A179" t="str">
            <v>Podengo Portugueso</v>
          </cell>
          <cell r="C179" t="str">
            <v>Hound</v>
          </cell>
          <cell r="D179" t="str">
            <v>Sight</v>
          </cell>
          <cell r="E179">
            <v>5</v>
          </cell>
          <cell r="F179" t="str">
            <v>Active, Companionable, Friendly, Hardy, Lively, Loyal</v>
          </cell>
          <cell r="G179">
            <v>900</v>
          </cell>
          <cell r="I179">
            <v>3</v>
          </cell>
          <cell r="M179">
            <v>159</v>
          </cell>
        </row>
        <row r="180">
          <cell r="A180" t="str">
            <v>Pointer</v>
          </cell>
          <cell r="C180" t="str">
            <v>Sporting</v>
          </cell>
          <cell r="D180" t="str">
            <v>Gun</v>
          </cell>
          <cell r="E180">
            <v>25</v>
          </cell>
          <cell r="F180" t="str">
            <v>Active, Affectionate, Amiable, Even-tempered, Kind, Loyal, Intelligent</v>
          </cell>
          <cell r="G180">
            <v>450</v>
          </cell>
          <cell r="H180">
            <v>43</v>
          </cell>
          <cell r="I180">
            <v>4</v>
          </cell>
          <cell r="M180">
            <v>113</v>
          </cell>
        </row>
        <row r="181">
          <cell r="A181" t="str">
            <v>Polish Lowland Sheepdog</v>
          </cell>
          <cell r="C181" t="str">
            <v>Herding</v>
          </cell>
          <cell r="D181" t="str">
            <v>Herding</v>
          </cell>
          <cell r="E181">
            <v>19</v>
          </cell>
          <cell r="F181" t="str">
            <v>Agile, Even-tempered, Lively, Perceptive, Self-confident</v>
          </cell>
          <cell r="G181">
            <v>1750</v>
          </cell>
          <cell r="I181">
            <v>6</v>
          </cell>
          <cell r="M181">
            <v>176</v>
          </cell>
        </row>
        <row r="182">
          <cell r="A182" t="str">
            <v>Pomeranian</v>
          </cell>
          <cell r="C182" t="str">
            <v>Toy</v>
          </cell>
          <cell r="D182" t="str">
            <v>Companion</v>
          </cell>
          <cell r="E182">
            <v>2</v>
          </cell>
          <cell r="F182" t="str">
            <v>Active, Extroverted, Friendly, Intelligent, Lively, Playful, Sociable</v>
          </cell>
          <cell r="G182">
            <v>700</v>
          </cell>
          <cell r="H182">
            <v>23</v>
          </cell>
          <cell r="I182">
            <v>3</v>
          </cell>
          <cell r="L182">
            <v>4</v>
          </cell>
          <cell r="M182">
            <v>22</v>
          </cell>
        </row>
        <row r="183">
          <cell r="A183" t="str">
            <v>Poodle</v>
          </cell>
          <cell r="C183" t="str">
            <v>Non Sporting</v>
          </cell>
          <cell r="D183" t="str">
            <v>Gun</v>
          </cell>
          <cell r="E183">
            <v>26</v>
          </cell>
          <cell r="F183" t="str">
            <v>Active, Alert, Faithful, Instinctual, Intelligent, Trainable</v>
          </cell>
          <cell r="G183">
            <v>1250</v>
          </cell>
          <cell r="H183">
            <v>2</v>
          </cell>
          <cell r="I183">
            <v>4</v>
          </cell>
          <cell r="L183">
            <v>1</v>
          </cell>
          <cell r="M183">
            <v>7</v>
          </cell>
        </row>
        <row r="184">
          <cell r="A184" t="str">
            <v>Standard Poodle</v>
          </cell>
          <cell r="C184" t="str">
            <v>Non Sporting</v>
          </cell>
          <cell r="D184" t="str">
            <v>Gun</v>
          </cell>
          <cell r="E184">
            <v>26</v>
          </cell>
          <cell r="F184" t="str">
            <v>Active, Alert, Faithful, Instinctual, Intelligent, Trainable</v>
          </cell>
          <cell r="G184">
            <v>1250</v>
          </cell>
          <cell r="H184">
            <v>2</v>
          </cell>
          <cell r="I184">
            <v>4</v>
          </cell>
          <cell r="M184">
            <v>7</v>
          </cell>
        </row>
        <row r="185">
          <cell r="A185" t="str">
            <v>Miniature Poodle</v>
          </cell>
          <cell r="C185" t="str">
            <v>Toy</v>
          </cell>
          <cell r="D185" t="str">
            <v>Companion</v>
          </cell>
          <cell r="E185">
            <v>8</v>
          </cell>
          <cell r="F185" t="str">
            <v>Active, Alert, Faithful, Instinctual, Intelligent, Trainable</v>
          </cell>
          <cell r="G185">
            <v>1250</v>
          </cell>
          <cell r="H185">
            <v>2</v>
          </cell>
          <cell r="I185">
            <v>4</v>
          </cell>
        </row>
        <row r="186">
          <cell r="A186" t="str">
            <v>Toy Poodle</v>
          </cell>
          <cell r="C186" t="str">
            <v>Toy</v>
          </cell>
          <cell r="D186" t="str">
            <v>Companion</v>
          </cell>
          <cell r="E186">
            <v>4</v>
          </cell>
          <cell r="F186" t="str">
            <v>Active, Alert, Faithful, Instinctual, Intelligent, Trainable</v>
          </cell>
          <cell r="G186">
            <v>1250</v>
          </cell>
          <cell r="H186">
            <v>2</v>
          </cell>
          <cell r="I186">
            <v>4</v>
          </cell>
        </row>
        <row r="187">
          <cell r="A187" t="str">
            <v>Portuguese Water Dog</v>
          </cell>
          <cell r="C187" t="str">
            <v>Working</v>
          </cell>
          <cell r="D187" t="str">
            <v>Gun</v>
          </cell>
          <cell r="E187">
            <v>22</v>
          </cell>
          <cell r="F187" t="str">
            <v>Brave, Docile, Impetuous, Intelligent, Obedient, Quarrelsome</v>
          </cell>
          <cell r="G187">
            <v>2650</v>
          </cell>
          <cell r="I187">
            <v>4</v>
          </cell>
          <cell r="M187">
            <v>54</v>
          </cell>
        </row>
        <row r="188">
          <cell r="A188" t="str">
            <v>Presa Canario</v>
          </cell>
          <cell r="C188" t="str">
            <v>Working</v>
          </cell>
          <cell r="D188" t="str">
            <v>Guardian</v>
          </cell>
          <cell r="E188">
            <v>40</v>
          </cell>
          <cell r="F188" t="str">
            <v>Calm, Dominant, Gentle, Strong-willed, Suspicious</v>
          </cell>
          <cell r="G188">
            <v>2100</v>
          </cell>
          <cell r="I188">
            <v>6</v>
          </cell>
          <cell r="J188">
            <v>1</v>
          </cell>
        </row>
        <row r="189">
          <cell r="A189" t="str">
            <v>Pug</v>
          </cell>
          <cell r="C189" t="str">
            <v>Toy</v>
          </cell>
          <cell r="D189" t="str">
            <v>Companion</v>
          </cell>
          <cell r="E189">
            <v>8</v>
          </cell>
          <cell r="F189" t="str">
            <v>Affectionate, Cheerful, Courageous, Gentle, Intelligent, Friendly, Outgoing, Playful, Loyal</v>
          </cell>
          <cell r="G189">
            <v>400</v>
          </cell>
          <cell r="H189">
            <v>57</v>
          </cell>
          <cell r="I189">
            <v>3</v>
          </cell>
          <cell r="M189">
            <v>31</v>
          </cell>
        </row>
        <row r="190">
          <cell r="A190" t="str">
            <v>Puli</v>
          </cell>
          <cell r="C190" t="str">
            <v>Herding</v>
          </cell>
          <cell r="D190" t="str">
            <v>Herding</v>
          </cell>
          <cell r="E190">
            <v>14</v>
          </cell>
          <cell r="F190" t="str">
            <v>Agile, Energetic, Faithful, Intelligent, Loyal, Obedient</v>
          </cell>
          <cell r="G190">
            <v>1100</v>
          </cell>
          <cell r="H190">
            <v>27</v>
          </cell>
          <cell r="I190">
            <v>5</v>
          </cell>
          <cell r="M190">
            <v>142</v>
          </cell>
        </row>
        <row r="191">
          <cell r="A191" t="str">
            <v>Pumi</v>
          </cell>
          <cell r="C191" t="str">
            <v>Herding</v>
          </cell>
          <cell r="D191" t="str">
            <v>Herding</v>
          </cell>
          <cell r="E191">
            <v>13</v>
          </cell>
          <cell r="F191" t="str">
            <v>Active, Intelligent, Lively, Protective, Reserved, Vocal</v>
          </cell>
          <cell r="G191">
            <v>2750</v>
          </cell>
          <cell r="I191">
            <v>3</v>
          </cell>
          <cell r="M191">
            <v>162</v>
          </cell>
        </row>
        <row r="192">
          <cell r="A192" t="str">
            <v>Rat Terrier</v>
          </cell>
          <cell r="C192" t="str">
            <v>Terrier</v>
          </cell>
          <cell r="D192" t="str">
            <v>Terrier</v>
          </cell>
          <cell r="E192">
            <v>11</v>
          </cell>
          <cell r="F192" t="str">
            <v>Affectioante, Alert, Inquisitive, Lively, Loving</v>
          </cell>
          <cell r="G192">
            <v>400</v>
          </cell>
          <cell r="I192">
            <v>3</v>
          </cell>
          <cell r="M192">
            <v>97</v>
          </cell>
        </row>
        <row r="193">
          <cell r="A193" t="str">
            <v>Redbone Coonhound</v>
          </cell>
          <cell r="B193" t="str">
            <v>Redbone</v>
          </cell>
          <cell r="C193" t="str">
            <v>Hound</v>
          </cell>
          <cell r="D193" t="str">
            <v>Scenthound</v>
          </cell>
          <cell r="E193">
            <v>28</v>
          </cell>
          <cell r="F193" t="str">
            <v>Affectionate, Companionable, Energetic, Familial, Independent, Unflappable</v>
          </cell>
          <cell r="G193">
            <v>700</v>
          </cell>
          <cell r="I193">
            <v>1</v>
          </cell>
          <cell r="M193">
            <v>139</v>
          </cell>
        </row>
        <row r="194">
          <cell r="A194" t="str">
            <v>Retriever</v>
          </cell>
          <cell r="C194" t="str">
            <v>Sporting</v>
          </cell>
          <cell r="D194" t="str">
            <v>Gun</v>
          </cell>
          <cell r="E194">
            <v>32</v>
          </cell>
          <cell r="F194" t="str">
            <v>Confident, Friendly, Intelligent, Kind, Reliable, Trustworthy</v>
          </cell>
          <cell r="G194">
            <v>1500</v>
          </cell>
          <cell r="H194">
            <v>4</v>
          </cell>
          <cell r="I194">
            <v>3</v>
          </cell>
          <cell r="M194">
            <v>3</v>
          </cell>
        </row>
        <row r="195">
          <cell r="A195" t="str">
            <v>Rhodesian Ridgeback</v>
          </cell>
          <cell r="C195" t="str">
            <v>Hound</v>
          </cell>
          <cell r="D195" t="str">
            <v>Sight</v>
          </cell>
          <cell r="E195">
            <v>39</v>
          </cell>
          <cell r="F195" t="str">
            <v>Dignified, Intelligent, Loyal, Mischevious, Sensitive, Strong-willed</v>
          </cell>
          <cell r="G195">
            <v>1150</v>
          </cell>
          <cell r="H195">
            <v>52</v>
          </cell>
          <cell r="I195">
            <v>3</v>
          </cell>
          <cell r="M195">
            <v>41</v>
          </cell>
        </row>
        <row r="196">
          <cell r="A196" t="str">
            <v>Rottweiler</v>
          </cell>
          <cell r="C196" t="str">
            <v>Working</v>
          </cell>
          <cell r="D196" t="str">
            <v>Guardian</v>
          </cell>
          <cell r="E196">
            <v>51</v>
          </cell>
          <cell r="F196" t="str">
            <v>Alert, Courageous, Fearless, Good-natured, Independent, Intelligent, Loyal, Protective</v>
          </cell>
          <cell r="G196">
            <v>1600</v>
          </cell>
          <cell r="H196">
            <v>9</v>
          </cell>
          <cell r="I196">
            <v>6</v>
          </cell>
          <cell r="J196">
            <v>1</v>
          </cell>
          <cell r="L196">
            <v>7</v>
          </cell>
          <cell r="M196">
            <v>8</v>
          </cell>
        </row>
        <row r="197">
          <cell r="A197" t="str">
            <v>Saint Bernard</v>
          </cell>
          <cell r="C197" t="str">
            <v>Working</v>
          </cell>
          <cell r="D197" t="str">
            <v>Guardian</v>
          </cell>
          <cell r="E197">
            <v>66</v>
          </cell>
          <cell r="F197" t="str">
            <v>Friendly, Gentle, Independent, Intelligent, Outgoing, Quiet, Social</v>
          </cell>
          <cell r="G197">
            <v>1650</v>
          </cell>
          <cell r="H197">
            <v>65</v>
          </cell>
          <cell r="I197">
            <v>3</v>
          </cell>
          <cell r="M197">
            <v>48</v>
          </cell>
        </row>
        <row r="198">
          <cell r="A198" t="str">
            <v>Saluki</v>
          </cell>
          <cell r="C198" t="str">
            <v>Hound</v>
          </cell>
          <cell r="D198" t="str">
            <v>Sight</v>
          </cell>
          <cell r="E198">
            <v>21</v>
          </cell>
          <cell r="F198" t="str">
            <v>Aloof, Intelligent, Quiet, Reserverd, Loyal</v>
          </cell>
          <cell r="G198">
            <v>700</v>
          </cell>
          <cell r="H198">
            <v>43</v>
          </cell>
          <cell r="I198">
            <v>3</v>
          </cell>
          <cell r="M198">
            <v>123</v>
          </cell>
        </row>
        <row r="199">
          <cell r="A199" t="str">
            <v>Samoyed</v>
          </cell>
          <cell r="C199" t="str">
            <v>Working</v>
          </cell>
          <cell r="D199" t="str">
            <v>Northern</v>
          </cell>
          <cell r="E199">
            <v>26</v>
          </cell>
          <cell r="F199" t="str">
            <v>Alert, Lively, Friendly, Intelligent, Playful, Sociable, Stubborn</v>
          </cell>
          <cell r="G199">
            <v>1350</v>
          </cell>
          <cell r="H199">
            <v>33</v>
          </cell>
          <cell r="I199">
            <v>4</v>
          </cell>
          <cell r="M199">
            <v>57</v>
          </cell>
        </row>
        <row r="200">
          <cell r="A200" t="str">
            <v>Sarplaninac</v>
          </cell>
          <cell r="C200" t="str">
            <v>Working</v>
          </cell>
          <cell r="D200" t="str">
            <v>Guardian</v>
          </cell>
          <cell r="E200">
            <v>33</v>
          </cell>
          <cell r="F200" t="str">
            <v>Independent, Calm, Devoted, Intelligent, Protective, Reliable</v>
          </cell>
          <cell r="G200">
            <v>900</v>
          </cell>
          <cell r="I200">
            <v>5</v>
          </cell>
        </row>
        <row r="201">
          <cell r="A201" t="str">
            <v>Schipperke</v>
          </cell>
          <cell r="C201" t="str">
            <v>Non Sporting</v>
          </cell>
          <cell r="D201" t="str">
            <v>Companion</v>
          </cell>
          <cell r="E201">
            <v>7</v>
          </cell>
          <cell r="F201" t="str">
            <v>Agile, Confident, Curious, Faithful, Fearless, Independent, Intelligent</v>
          </cell>
          <cell r="G201">
            <v>800</v>
          </cell>
          <cell r="H201">
            <v>15</v>
          </cell>
          <cell r="I201">
            <v>3</v>
          </cell>
          <cell r="M201">
            <v>110</v>
          </cell>
        </row>
        <row r="202">
          <cell r="A202" t="str">
            <v>Miniature Schnauzer</v>
          </cell>
          <cell r="C202" t="str">
            <v>Terrier</v>
          </cell>
          <cell r="D202" t="str">
            <v>Companion</v>
          </cell>
          <cell r="E202">
            <v>8</v>
          </cell>
          <cell r="F202" t="str">
            <v>Devoted, Good-natured, Intelligent, Lively, Playful, Trainable</v>
          </cell>
          <cell r="G202">
            <v>800</v>
          </cell>
          <cell r="M202">
            <v>18</v>
          </cell>
        </row>
        <row r="203">
          <cell r="A203" t="str">
            <v>Schnauzer</v>
          </cell>
          <cell r="B203" t="str">
            <v>Standard Schnauzer</v>
          </cell>
          <cell r="C203" t="str">
            <v>Working</v>
          </cell>
          <cell r="D203" t="str">
            <v>Herding</v>
          </cell>
          <cell r="E203">
            <v>17</v>
          </cell>
          <cell r="F203" t="str">
            <v>Devoted, Good-natured, Intelligent, Lively, Playful, Trainable</v>
          </cell>
          <cell r="G203">
            <v>1350</v>
          </cell>
          <cell r="H203">
            <v>18</v>
          </cell>
          <cell r="I203">
            <v>4</v>
          </cell>
          <cell r="L203">
            <v>3</v>
          </cell>
          <cell r="M203">
            <v>90</v>
          </cell>
        </row>
        <row r="204">
          <cell r="A204" t="str">
            <v>Giant Schnauzer</v>
          </cell>
          <cell r="C204" t="str">
            <v>Working</v>
          </cell>
          <cell r="D204" t="str">
            <v>Herding</v>
          </cell>
          <cell r="E204">
            <v>31</v>
          </cell>
          <cell r="F204" t="str">
            <v>Devoted, Good-natured, Intelligent, Lively, Playful, Trainable</v>
          </cell>
          <cell r="G204">
            <v>1250</v>
          </cell>
          <cell r="M204">
            <v>80</v>
          </cell>
        </row>
        <row r="205">
          <cell r="A205" t="str">
            <v>Scottish Deerhound</v>
          </cell>
          <cell r="C205" t="str">
            <v>Hound</v>
          </cell>
          <cell r="D205" t="str">
            <v>Sight</v>
          </cell>
          <cell r="E205">
            <v>42</v>
          </cell>
          <cell r="F205" t="str">
            <v>Dignified, Docile, Friendly, Gentle, Polite, Quiet</v>
          </cell>
          <cell r="G205">
            <v>1100</v>
          </cell>
          <cell r="H205">
            <v>47</v>
          </cell>
          <cell r="I205">
            <v>1</v>
          </cell>
          <cell r="M205">
            <v>168</v>
          </cell>
        </row>
        <row r="206">
          <cell r="A206" t="str">
            <v>Scottish Terrier Scottie</v>
          </cell>
          <cell r="B206" t="str">
            <v>Scotch Terrier</v>
          </cell>
          <cell r="C206" t="str">
            <v>Terrier</v>
          </cell>
          <cell r="D206" t="str">
            <v>Terrier</v>
          </cell>
          <cell r="E206">
            <v>9</v>
          </cell>
          <cell r="F206" t="str">
            <v>Independent, Fiesty, Alert, Playful, Quick, Self-assured</v>
          </cell>
          <cell r="G206">
            <v>900</v>
          </cell>
          <cell r="H206">
            <v>65</v>
          </cell>
          <cell r="I206">
            <v>3</v>
          </cell>
          <cell r="M206">
            <v>58</v>
          </cell>
        </row>
        <row r="207">
          <cell r="A207" t="str">
            <v>Sealyham Terrier</v>
          </cell>
          <cell r="C207" t="str">
            <v>Terrier</v>
          </cell>
          <cell r="D207" t="str">
            <v>Terrier</v>
          </cell>
          <cell r="E207">
            <v>9</v>
          </cell>
          <cell r="F207" t="str">
            <v>Alert, Calm, Even-tempered, Fearless, Friendly, Intelligent</v>
          </cell>
          <cell r="G207">
            <v>900</v>
          </cell>
          <cell r="H207">
            <v>56</v>
          </cell>
          <cell r="I207">
            <v>3</v>
          </cell>
          <cell r="M207">
            <v>150</v>
          </cell>
        </row>
        <row r="208">
          <cell r="A208" t="str">
            <v>Setter</v>
          </cell>
          <cell r="C208" t="str">
            <v>Sporting</v>
          </cell>
          <cell r="D208" t="str">
            <v>Gun</v>
          </cell>
          <cell r="E208">
            <v>30</v>
          </cell>
          <cell r="F208" t="str">
            <v>Strong-willed, Mischevious, Gentle, Energetic, Intelligent</v>
          </cell>
          <cell r="G208">
            <v>500</v>
          </cell>
          <cell r="H208">
            <v>37</v>
          </cell>
          <cell r="I208">
            <v>3</v>
          </cell>
          <cell r="M208">
            <v>95</v>
          </cell>
        </row>
        <row r="209">
          <cell r="A209" t="str">
            <v>Shar Pei</v>
          </cell>
          <cell r="C209" t="str">
            <v>Non Sporting</v>
          </cell>
          <cell r="D209" t="str">
            <v>Northern</v>
          </cell>
          <cell r="E209">
            <v>22</v>
          </cell>
          <cell r="F209" t="str">
            <v>Affectionate, Devoted, Independent, Loving, Reserved, Suspicious</v>
          </cell>
          <cell r="G209">
            <v>1100</v>
          </cell>
          <cell r="H209">
            <v>51</v>
          </cell>
          <cell r="I209">
            <v>3</v>
          </cell>
          <cell r="M209">
            <v>64</v>
          </cell>
        </row>
        <row r="210">
          <cell r="A210" t="str">
            <v>Sheep Dog</v>
          </cell>
          <cell r="C210" t="str">
            <v>Herding</v>
          </cell>
          <cell r="D210" t="str">
            <v>Herding</v>
          </cell>
          <cell r="E210">
            <v>39</v>
          </cell>
          <cell r="F210" t="str">
            <v>Adaptable, Bubbly, Intelligent, Loving, Playful, Sociable, Protective</v>
          </cell>
          <cell r="G210">
            <v>1350</v>
          </cell>
          <cell r="H210">
            <v>63</v>
          </cell>
          <cell r="I210">
            <v>4</v>
          </cell>
          <cell r="M210">
            <v>70</v>
          </cell>
        </row>
        <row r="211">
          <cell r="A211" t="str">
            <v>Shepherd</v>
          </cell>
          <cell r="C211" t="str">
            <v>Herding</v>
          </cell>
          <cell r="D211" t="str">
            <v>Herding</v>
          </cell>
          <cell r="E211">
            <v>35</v>
          </cell>
          <cell r="F211" t="str">
            <v>Alert, Confident, Courageous, Curious, Intelligent, Loyal, Obedient, Watchful</v>
          </cell>
          <cell r="G211">
            <v>1400</v>
          </cell>
          <cell r="H211">
            <v>3</v>
          </cell>
          <cell r="I211">
            <v>6</v>
          </cell>
          <cell r="M211">
            <v>2</v>
          </cell>
        </row>
        <row r="212">
          <cell r="A212" t="str">
            <v>Shetland Sheepdog Sheltie</v>
          </cell>
          <cell r="B212" t="str">
            <v>Shetland Sheepdog</v>
          </cell>
          <cell r="C212" t="str">
            <v>Herding</v>
          </cell>
          <cell r="D212" t="str">
            <v>Herding</v>
          </cell>
          <cell r="E212">
            <v>9</v>
          </cell>
          <cell r="F212" t="str">
            <v>Affectionate, Friendly, Gentle, Intelligent, Lively, Playful, Responsive</v>
          </cell>
          <cell r="G212">
            <v>900</v>
          </cell>
          <cell r="H212">
            <v>6</v>
          </cell>
          <cell r="I212">
            <v>4</v>
          </cell>
          <cell r="M212">
            <v>24</v>
          </cell>
        </row>
        <row r="213">
          <cell r="A213" t="str">
            <v>Shiba Inu</v>
          </cell>
          <cell r="C213" t="str">
            <v>Non Sporting</v>
          </cell>
          <cell r="D213" t="str">
            <v>Companion</v>
          </cell>
          <cell r="E213">
            <v>10</v>
          </cell>
          <cell r="F213" t="str">
            <v>Alert, Charming, Confident, Faithful, Fearless, Keen, Outgoing</v>
          </cell>
          <cell r="G213">
            <v>900</v>
          </cell>
          <cell r="I213">
            <v>4</v>
          </cell>
          <cell r="M213">
            <v>45</v>
          </cell>
        </row>
        <row r="214">
          <cell r="A214" t="str">
            <v>Shih Tzu</v>
          </cell>
          <cell r="C214" t="str">
            <v>Toy</v>
          </cell>
          <cell r="D214" t="str">
            <v>Companion</v>
          </cell>
          <cell r="E214">
            <v>6</v>
          </cell>
          <cell r="F214" t="str">
            <v>Active, Courageous, Friendly, Gentle, Happy, Intelligent, Lively, Outgoing, Playful</v>
          </cell>
          <cell r="G214">
            <v>1000</v>
          </cell>
          <cell r="H214">
            <v>70</v>
          </cell>
          <cell r="I214">
            <v>3</v>
          </cell>
          <cell r="L214">
            <v>2</v>
          </cell>
          <cell r="M214">
            <v>20</v>
          </cell>
        </row>
        <row r="215">
          <cell r="A215" t="str">
            <v>Siberian Husky</v>
          </cell>
          <cell r="C215" t="str">
            <v>Working</v>
          </cell>
          <cell r="D215" t="str">
            <v>Northern</v>
          </cell>
          <cell r="E215">
            <v>24</v>
          </cell>
          <cell r="F215" t="str">
            <v>Alert, Friendly, Gentle, Intelligent, Outgoing</v>
          </cell>
          <cell r="G215">
            <v>950</v>
          </cell>
          <cell r="H215">
            <v>45</v>
          </cell>
          <cell r="I215">
            <v>1</v>
          </cell>
          <cell r="L215">
            <v>5</v>
          </cell>
          <cell r="M215">
            <v>12</v>
          </cell>
        </row>
        <row r="216">
          <cell r="A216" t="str">
            <v>Silky Terrier</v>
          </cell>
          <cell r="C216" t="str">
            <v>Toy</v>
          </cell>
          <cell r="D216" t="str">
            <v>Terrier</v>
          </cell>
          <cell r="E216">
            <v>5</v>
          </cell>
          <cell r="F216" t="str">
            <v>Alert, Friendly, Inquisitive, Joyful, Quick, Responsive, Intelligent</v>
          </cell>
          <cell r="G216">
            <v>700</v>
          </cell>
          <cell r="H216">
            <v>37</v>
          </cell>
          <cell r="I216">
            <v>3</v>
          </cell>
          <cell r="M216">
            <v>106</v>
          </cell>
        </row>
        <row r="217">
          <cell r="A217" t="str">
            <v>Skye Terrier</v>
          </cell>
          <cell r="C217" t="str">
            <v>Terrier</v>
          </cell>
          <cell r="D217" t="str">
            <v>Terrier</v>
          </cell>
          <cell r="E217">
            <v>17</v>
          </cell>
          <cell r="F217" t="str">
            <v>Loyal, Fearless, Friendly, Good-tempered, Intelligent</v>
          </cell>
          <cell r="G217">
            <v>800</v>
          </cell>
          <cell r="H217">
            <v>55</v>
          </cell>
          <cell r="I217">
            <v>4</v>
          </cell>
          <cell r="M217">
            <v>172</v>
          </cell>
        </row>
        <row r="218">
          <cell r="A218" t="str">
            <v>Sloughi</v>
          </cell>
          <cell r="C218" t="str">
            <v>Hound</v>
          </cell>
          <cell r="D218" t="str">
            <v>Sight</v>
          </cell>
          <cell r="E218">
            <v>28</v>
          </cell>
          <cell r="F218" t="str">
            <v>Alert, Faithful, Intelligent, Sensitive, Independent, Playful, Sweet</v>
          </cell>
          <cell r="G218">
            <v>900</v>
          </cell>
          <cell r="I218">
            <v>5</v>
          </cell>
          <cell r="M218">
            <v>188</v>
          </cell>
        </row>
        <row r="219">
          <cell r="A219" t="str">
            <v>Smooth Fox Terrier</v>
          </cell>
          <cell r="C219" t="str">
            <v>Terrier</v>
          </cell>
          <cell r="D219" t="str">
            <v>Terrier</v>
          </cell>
          <cell r="E219">
            <v>8</v>
          </cell>
          <cell r="F219" t="str">
            <v>Active, Affectionate, Alert, Fearless, Intelligent, Playful</v>
          </cell>
          <cell r="G219">
            <v>850</v>
          </cell>
          <cell r="H219">
            <v>40</v>
          </cell>
          <cell r="I219">
            <v>3</v>
          </cell>
          <cell r="M219">
            <v>122</v>
          </cell>
        </row>
        <row r="220">
          <cell r="A220" t="str">
            <v>South Russian Ovtcharka</v>
          </cell>
          <cell r="C220" t="str">
            <v>Herding</v>
          </cell>
          <cell r="D220" t="str">
            <v>Herding</v>
          </cell>
          <cell r="E220">
            <v>49</v>
          </cell>
          <cell r="F220" t="str">
            <v>Active, Balanced, Courageous, Lively, Nervous</v>
          </cell>
          <cell r="G220">
            <v>900</v>
          </cell>
          <cell r="I220">
            <v>4</v>
          </cell>
        </row>
        <row r="221">
          <cell r="A221" t="str">
            <v>Spaniel</v>
          </cell>
          <cell r="C221" t="str">
            <v>Sporting</v>
          </cell>
          <cell r="D221" t="str">
            <v>Gun</v>
          </cell>
          <cell r="E221">
            <v>10</v>
          </cell>
          <cell r="F221" t="str">
            <v>Even Tempered, Joyful, Merry, Outgoing, Intelligent, Sociable, Trusting</v>
          </cell>
          <cell r="G221">
            <v>700</v>
          </cell>
          <cell r="H221">
            <v>20</v>
          </cell>
          <cell r="I221">
            <v>3</v>
          </cell>
          <cell r="M221">
            <v>29</v>
          </cell>
        </row>
        <row r="222">
          <cell r="A222" t="str">
            <v>Spitz</v>
          </cell>
          <cell r="C222" t="str">
            <v>Non Sporting</v>
          </cell>
          <cell r="D222" t="str">
            <v>Northern</v>
          </cell>
          <cell r="E222">
            <v>8</v>
          </cell>
          <cell r="F222" t="str">
            <v>Alert, Energetic, Friendly, Independent, Intelligent, Protective</v>
          </cell>
          <cell r="G222">
            <v>700</v>
          </cell>
          <cell r="I222">
            <v>4</v>
          </cell>
          <cell r="M222">
            <v>118</v>
          </cell>
        </row>
        <row r="223">
          <cell r="A223" t="str">
            <v>Staffordshire Bull Terrier</v>
          </cell>
          <cell r="B223" t="str">
            <v>Staffordshire Bullterrier</v>
          </cell>
          <cell r="C223" t="str">
            <v>Terrier</v>
          </cell>
          <cell r="D223" t="str">
            <v>Terrier</v>
          </cell>
          <cell r="E223">
            <v>14</v>
          </cell>
          <cell r="F223" t="str">
            <v>Affectionate, Bold, Courageous, Fearless, Intelligent, Reliable</v>
          </cell>
          <cell r="G223">
            <v>1750</v>
          </cell>
          <cell r="H223">
            <v>49</v>
          </cell>
          <cell r="I223">
            <v>3</v>
          </cell>
          <cell r="K223">
            <v>1</v>
          </cell>
          <cell r="M223">
            <v>82</v>
          </cell>
        </row>
        <row r="224">
          <cell r="A224" t="str">
            <v>Sussex Spaniel</v>
          </cell>
          <cell r="C224" t="str">
            <v>Sporting</v>
          </cell>
          <cell r="D224" t="str">
            <v>Gun</v>
          </cell>
          <cell r="E224">
            <v>19</v>
          </cell>
          <cell r="F224" t="str">
            <v>Calm, Cheerful, Companionable, Devoted, Friendly, Sociable</v>
          </cell>
          <cell r="G224">
            <v>2500</v>
          </cell>
          <cell r="I224">
            <v>3</v>
          </cell>
          <cell r="M224">
            <v>161</v>
          </cell>
        </row>
        <row r="225">
          <cell r="A225" t="str">
            <v>Swedish Vallhund</v>
          </cell>
          <cell r="C225" t="str">
            <v>Herding</v>
          </cell>
          <cell r="D225" t="str">
            <v>Herding</v>
          </cell>
          <cell r="E225">
            <v>13</v>
          </cell>
          <cell r="F225" t="str">
            <v>Alert, Energetic, Fearless, Friendly, Watchful</v>
          </cell>
          <cell r="G225">
            <v>800</v>
          </cell>
          <cell r="I225">
            <v>4</v>
          </cell>
          <cell r="M225">
            <v>149</v>
          </cell>
        </row>
        <row r="226">
          <cell r="A226" t="str">
            <v>Terrier</v>
          </cell>
          <cell r="C226" t="str">
            <v>Terrier</v>
          </cell>
          <cell r="D226" t="str">
            <v>Terrier</v>
          </cell>
          <cell r="E226">
            <v>8</v>
          </cell>
          <cell r="F226" t="str">
            <v>Affectionate, Alert, Courageous, Intelligent, Friendly, Hardy, Independent</v>
          </cell>
          <cell r="G226">
            <v>1050</v>
          </cell>
          <cell r="H226">
            <v>47</v>
          </cell>
          <cell r="I226">
            <v>3</v>
          </cell>
          <cell r="M226">
            <v>42</v>
          </cell>
        </row>
        <row r="227">
          <cell r="A227" t="str">
            <v>Thai Ridgeback</v>
          </cell>
          <cell r="C227" t="str">
            <v>Hound</v>
          </cell>
          <cell r="D227" t="str">
            <v>Sight</v>
          </cell>
          <cell r="E227">
            <v>28</v>
          </cell>
          <cell r="F227" t="str">
            <v>Familial, Independent, Loving, Loyal, Protective</v>
          </cell>
          <cell r="G227">
            <v>700</v>
          </cell>
          <cell r="I227">
            <v>2</v>
          </cell>
        </row>
        <row r="228">
          <cell r="A228" t="str">
            <v>Tibetan Mastiff</v>
          </cell>
          <cell r="C228" t="str">
            <v>Working</v>
          </cell>
          <cell r="D228" t="str">
            <v>Guardian</v>
          </cell>
          <cell r="E228">
            <v>71</v>
          </cell>
          <cell r="F228" t="str">
            <v>Aloof, Protective, Strong-willed, Stubborn, Courageous, Loyal</v>
          </cell>
          <cell r="G228">
            <v>3000</v>
          </cell>
          <cell r="I228">
            <v>6</v>
          </cell>
          <cell r="M228">
            <v>153</v>
          </cell>
        </row>
        <row r="229">
          <cell r="A229" t="str">
            <v>Tibetan Spaniel</v>
          </cell>
          <cell r="C229" t="str">
            <v>Non Sporting</v>
          </cell>
          <cell r="D229" t="str">
            <v>Companion</v>
          </cell>
          <cell r="E229">
            <v>6</v>
          </cell>
          <cell r="F229" t="str">
            <v>Intelligent, Assertive, Aloof, Happy, Independent, Willful</v>
          </cell>
          <cell r="G229">
            <v>900</v>
          </cell>
          <cell r="H229">
            <v>46</v>
          </cell>
          <cell r="I229">
            <v>4</v>
          </cell>
          <cell r="M229">
            <v>121</v>
          </cell>
        </row>
        <row r="230">
          <cell r="A230" t="str">
            <v>Tibetan Terrier</v>
          </cell>
          <cell r="C230" t="str">
            <v>Non Sporting</v>
          </cell>
          <cell r="D230" t="str">
            <v>Companion</v>
          </cell>
          <cell r="E230">
            <v>10</v>
          </cell>
          <cell r="F230" t="str">
            <v>Affectionate, Amiable, Energetic, Gentle, Reserved, Sensitive, Intelligent</v>
          </cell>
          <cell r="G230">
            <v>1600</v>
          </cell>
          <cell r="H230">
            <v>62</v>
          </cell>
          <cell r="I230">
            <v>3</v>
          </cell>
          <cell r="M230">
            <v>101</v>
          </cell>
        </row>
        <row r="231">
          <cell r="A231" t="str">
            <v>Tosa Inu</v>
          </cell>
          <cell r="C231" t="str">
            <v>Working</v>
          </cell>
          <cell r="D231" t="str">
            <v>Guardian</v>
          </cell>
          <cell r="E231">
            <v>65</v>
          </cell>
          <cell r="F231" t="str">
            <v>Aggressive, Brave, Fearless, Intelligent, Sensitive, Suspicious</v>
          </cell>
          <cell r="G231">
            <v>700</v>
          </cell>
          <cell r="I231">
            <v>6</v>
          </cell>
          <cell r="K231">
            <v>1</v>
          </cell>
        </row>
        <row r="232">
          <cell r="A232" t="str">
            <v>Toy Fox Terrier</v>
          </cell>
          <cell r="B232" t="str">
            <v>Toy Terrier</v>
          </cell>
          <cell r="C232" t="str">
            <v>Toy</v>
          </cell>
          <cell r="D232" t="str">
            <v>Terrier</v>
          </cell>
          <cell r="E232">
            <v>2</v>
          </cell>
          <cell r="F232" t="str">
            <v>Alert, Friendly, Intelligent, Loyal, Playful, Spirited</v>
          </cell>
          <cell r="G232">
            <v>500</v>
          </cell>
          <cell r="I232">
            <v>2</v>
          </cell>
          <cell r="M232">
            <v>112</v>
          </cell>
        </row>
        <row r="233">
          <cell r="A233" t="str">
            <v>Treeing Walker Coonhound</v>
          </cell>
          <cell r="B233" t="str">
            <v>Walker Hound</v>
          </cell>
          <cell r="C233" t="str">
            <v>Hound</v>
          </cell>
          <cell r="D233" t="str">
            <v>Scenthound</v>
          </cell>
          <cell r="E233">
            <v>28</v>
          </cell>
          <cell r="F233" t="str">
            <v>Affectionate, Clever, Confident, Loving, Trainable</v>
          </cell>
          <cell r="G233">
            <v>500</v>
          </cell>
          <cell r="I233">
            <v>3</v>
          </cell>
          <cell r="M233">
            <v>131</v>
          </cell>
        </row>
        <row r="234">
          <cell r="A234" t="str">
            <v>Vizsla</v>
          </cell>
          <cell r="C234" t="str">
            <v>Sporting</v>
          </cell>
          <cell r="D234" t="str">
            <v>Gun</v>
          </cell>
          <cell r="E234">
            <v>21</v>
          </cell>
          <cell r="F234" t="str">
            <v>Affectionate, Cheerful, Energetic, Gentle, Intelligent, Playful, Protective, Quiet</v>
          </cell>
          <cell r="G234">
            <v>1000</v>
          </cell>
          <cell r="I234">
            <v>3</v>
          </cell>
          <cell r="M234">
            <v>30</v>
          </cell>
        </row>
        <row r="235">
          <cell r="A235" t="str">
            <v>Weimaraner</v>
          </cell>
          <cell r="C235" t="str">
            <v>Sporting</v>
          </cell>
          <cell r="D235" t="str">
            <v>Gun</v>
          </cell>
          <cell r="E235">
            <v>29</v>
          </cell>
          <cell r="F235" t="str">
            <v>Alert, Aloof, Energetic, Fast, Intelligent, Powerful, Steady, Stubborn, Social</v>
          </cell>
          <cell r="G235">
            <v>1750</v>
          </cell>
          <cell r="H235">
            <v>21</v>
          </cell>
          <cell r="I235">
            <v>3</v>
          </cell>
          <cell r="M235">
            <v>34</v>
          </cell>
        </row>
        <row r="236">
          <cell r="A236" t="str">
            <v>Welsh Corgi</v>
          </cell>
          <cell r="C236" t="str">
            <v>Herding</v>
          </cell>
          <cell r="D236" t="str">
            <v>Herding</v>
          </cell>
          <cell r="E236">
            <v>13</v>
          </cell>
          <cell r="F236" t="str">
            <v>Active, Affectionate, Alert, Companionable, Devoted, Gentle, Intelligent</v>
          </cell>
          <cell r="G236">
            <v>1100</v>
          </cell>
          <cell r="H236">
            <v>26</v>
          </cell>
          <cell r="I236">
            <v>4</v>
          </cell>
          <cell r="M236">
            <v>68</v>
          </cell>
        </row>
        <row r="237">
          <cell r="A237" t="str">
            <v>Cardigan</v>
          </cell>
          <cell r="C237" t="str">
            <v>Herding</v>
          </cell>
          <cell r="D237" t="str">
            <v>Herding</v>
          </cell>
          <cell r="E237">
            <v>16</v>
          </cell>
          <cell r="F237" t="str">
            <v>Active, Affectionate, Alert, Companionable, Devoted, Gentle, Intelligent</v>
          </cell>
          <cell r="G237">
            <v>1100</v>
          </cell>
          <cell r="H237">
            <v>26</v>
          </cell>
          <cell r="I237">
            <v>4</v>
          </cell>
          <cell r="M237">
            <v>68</v>
          </cell>
        </row>
        <row r="238">
          <cell r="A238" t="str">
            <v>Pembroke</v>
          </cell>
          <cell r="C238" t="str">
            <v>Herding</v>
          </cell>
          <cell r="D238" t="str">
            <v>Herding</v>
          </cell>
          <cell r="E238">
            <v>12</v>
          </cell>
          <cell r="F238" t="str">
            <v>Active, Affectionate, Alert, Companionable, Devoted, Gentle, Intelligent</v>
          </cell>
          <cell r="G238">
            <v>1100</v>
          </cell>
          <cell r="H238">
            <v>26</v>
          </cell>
          <cell r="I238">
            <v>4</v>
          </cell>
          <cell r="M238">
            <v>68</v>
          </cell>
        </row>
        <row r="239">
          <cell r="A239" t="str">
            <v>Welsh Springer Spaniel</v>
          </cell>
          <cell r="C239" t="str">
            <v>Sporting</v>
          </cell>
          <cell r="D239" t="str">
            <v>Gun</v>
          </cell>
          <cell r="E239">
            <v>18</v>
          </cell>
          <cell r="F239" t="str">
            <v>Affectionate, Loyal, Active, Friendly, Playful, Stubborn, Intelligent</v>
          </cell>
          <cell r="G239">
            <v>1300</v>
          </cell>
          <cell r="H239">
            <v>31</v>
          </cell>
          <cell r="I239">
            <v>4</v>
          </cell>
          <cell r="M239">
            <v>133</v>
          </cell>
        </row>
        <row r="240">
          <cell r="A240" t="str">
            <v>Welsh Terrier</v>
          </cell>
          <cell r="C240" t="str">
            <v>Terrier</v>
          </cell>
          <cell r="D240" t="str">
            <v>Terrier</v>
          </cell>
          <cell r="E240">
            <v>9</v>
          </cell>
          <cell r="F240" t="str">
            <v>Alert, Friendly, Intelligent, Spirited, Independent, Loving</v>
          </cell>
          <cell r="G240">
            <v>1000</v>
          </cell>
          <cell r="H240">
            <v>53</v>
          </cell>
          <cell r="I240">
            <v>3</v>
          </cell>
          <cell r="M240">
            <v>109</v>
          </cell>
        </row>
        <row r="241">
          <cell r="A241" t="str">
            <v>West Highland White Terrier Westie</v>
          </cell>
          <cell r="B241" t="str">
            <v>West Highland White Terrier</v>
          </cell>
          <cell r="C241" t="str">
            <v>Terrier</v>
          </cell>
          <cell r="D241" t="str">
            <v>Terrier</v>
          </cell>
          <cell r="E241">
            <v>8</v>
          </cell>
          <cell r="F241" t="str">
            <v>Affectionate, Alert, Courageous, Intelligent, Friendly, Hardy, Independent</v>
          </cell>
          <cell r="G241">
            <v>1050</v>
          </cell>
          <cell r="H241">
            <v>47</v>
          </cell>
          <cell r="I241">
            <v>3</v>
          </cell>
          <cell r="M241">
            <v>42</v>
          </cell>
        </row>
        <row r="242">
          <cell r="A242" t="str">
            <v>Wheaten Terrier</v>
          </cell>
          <cell r="B242" t="str">
            <v>Soft Coated Wheaten Terrier</v>
          </cell>
          <cell r="C242" t="str">
            <v>Terrier</v>
          </cell>
          <cell r="D242" t="str">
            <v>Terrier</v>
          </cell>
          <cell r="E242">
            <v>18</v>
          </cell>
          <cell r="F242" t="str">
            <v>Affectionate, Energetic, Faithful, Intelligent, Playful, Spirited</v>
          </cell>
          <cell r="G242">
            <v>900</v>
          </cell>
          <cell r="H242">
            <v>40</v>
          </cell>
          <cell r="I242">
            <v>4</v>
          </cell>
          <cell r="M242">
            <v>49</v>
          </cell>
        </row>
        <row r="243">
          <cell r="A243" t="str">
            <v>Whippet</v>
          </cell>
          <cell r="C243" t="str">
            <v>Hound</v>
          </cell>
          <cell r="D243" t="str">
            <v>Sight</v>
          </cell>
          <cell r="E243">
            <v>16</v>
          </cell>
          <cell r="F243" t="str">
            <v>Affectionate, Friendly, Gentle, Intelligent, Lively, Quiet</v>
          </cell>
          <cell r="G243">
            <v>1000</v>
          </cell>
          <cell r="H243">
            <v>51</v>
          </cell>
          <cell r="I243">
            <v>3</v>
          </cell>
          <cell r="M243">
            <v>61</v>
          </cell>
        </row>
        <row r="244">
          <cell r="A244" t="str">
            <v>White German Shepherd</v>
          </cell>
          <cell r="C244" t="str">
            <v>Herding</v>
          </cell>
          <cell r="D244" t="str">
            <v>Herding</v>
          </cell>
          <cell r="E244">
            <v>35</v>
          </cell>
          <cell r="F244" t="str">
            <v>Alert, Confident, Courageous, Curious, Intelligent, Loyal, Obedient, Watchful</v>
          </cell>
          <cell r="G244">
            <v>1400</v>
          </cell>
          <cell r="H244">
            <v>3</v>
          </cell>
          <cell r="I244">
            <v>6</v>
          </cell>
          <cell r="M244">
            <v>2</v>
          </cell>
        </row>
        <row r="245">
          <cell r="A245" t="str">
            <v>Wire Fox Terrier</v>
          </cell>
          <cell r="B245" t="str">
            <v>Wire Haired Fox Terrier</v>
          </cell>
          <cell r="C245" t="str">
            <v>Terrier</v>
          </cell>
          <cell r="D245" t="str">
            <v>Terrier</v>
          </cell>
          <cell r="E245">
            <v>7</v>
          </cell>
          <cell r="F245" t="str">
            <v>Alert, Bold, Fearless, Friendly, Keen, Quick, Intelligent</v>
          </cell>
          <cell r="G245">
            <v>900</v>
          </cell>
          <cell r="H245">
            <v>51</v>
          </cell>
          <cell r="I245">
            <v>3</v>
          </cell>
          <cell r="M245">
            <v>99</v>
          </cell>
        </row>
        <row r="246">
          <cell r="A246" t="str">
            <v>Wire-haired Pointing Griffon</v>
          </cell>
          <cell r="C246" t="str">
            <v>Sporting</v>
          </cell>
          <cell r="D246" t="str">
            <v>Gun</v>
          </cell>
          <cell r="E246">
            <v>25</v>
          </cell>
          <cell r="F246" t="str">
            <v>Gentle, Loyal, Proud, Trainable, Vigilant, Intelligent</v>
          </cell>
          <cell r="G246">
            <v>700</v>
          </cell>
          <cell r="H246">
            <v>46</v>
          </cell>
          <cell r="I246">
            <v>5</v>
          </cell>
          <cell r="M246">
            <v>65</v>
          </cell>
        </row>
        <row r="247">
          <cell r="A247" t="str">
            <v>Wirehaired Terrier</v>
          </cell>
          <cell r="C247" t="str">
            <v>Terrier</v>
          </cell>
          <cell r="D247" t="str">
            <v>Terrier</v>
          </cell>
          <cell r="E247">
            <v>7</v>
          </cell>
          <cell r="F247" t="str">
            <v>Alert, Bold, Fearless, Friendly, Keen, Quick, Intelligent</v>
          </cell>
          <cell r="G247">
            <v>900</v>
          </cell>
          <cell r="H247">
            <v>51</v>
          </cell>
          <cell r="I247">
            <v>3</v>
          </cell>
          <cell r="M247">
            <v>99</v>
          </cell>
        </row>
        <row r="248">
          <cell r="A248" t="str">
            <v>Xoloitzcuintle/Mexican Hairless</v>
          </cell>
          <cell r="B248" t="str">
            <v>Mexican Hairless</v>
          </cell>
          <cell r="C248" t="str">
            <v>Non Sporting</v>
          </cell>
          <cell r="D248" t="str">
            <v>Sight</v>
          </cell>
          <cell r="E248">
            <v>11</v>
          </cell>
          <cell r="F248" t="str">
            <v>Aleret, Calm, Cheerful, Companionable, Loyal, Protective</v>
          </cell>
          <cell r="G248">
            <v>700</v>
          </cell>
          <cell r="I248">
            <v>3</v>
          </cell>
          <cell r="M248">
            <v>143</v>
          </cell>
        </row>
        <row r="249">
          <cell r="A249" t="str">
            <v>Yellow Labrador Retriever</v>
          </cell>
          <cell r="C249" t="str">
            <v>Sporting</v>
          </cell>
          <cell r="D249" t="str">
            <v>Gun</v>
          </cell>
          <cell r="E249">
            <v>32</v>
          </cell>
          <cell r="F249" t="str">
            <v>Affectionate, Alert, Cheerful, Energetic, Friendly, Gentle, Intelligent, Loving, Loyal, Outgoing, Playful, Responsive, Social</v>
          </cell>
          <cell r="G249">
            <v>1500</v>
          </cell>
          <cell r="H249">
            <v>7</v>
          </cell>
          <cell r="I249">
            <v>3</v>
          </cell>
          <cell r="M249">
            <v>1</v>
          </cell>
        </row>
        <row r="250">
          <cell r="A250" t="str">
            <v>Yorkshire Terrier Yorkie</v>
          </cell>
          <cell r="B250" t="str">
            <v>Yorkshire Terrier</v>
          </cell>
          <cell r="C250" t="str">
            <v>Toy</v>
          </cell>
          <cell r="D250" t="str">
            <v>Companion</v>
          </cell>
          <cell r="E250">
            <v>3</v>
          </cell>
          <cell r="F250" t="str">
            <v>Alert, Courageous, Energetic, Independent, Intelligent, Loyal, Playful</v>
          </cell>
          <cell r="G250">
            <v>800</v>
          </cell>
          <cell r="H250">
            <v>27</v>
          </cell>
          <cell r="I250">
            <v>3</v>
          </cell>
          <cell r="M250">
            <v>9</v>
          </cell>
        </row>
        <row r="251">
          <cell r="A251" t="str">
            <v>Mixed Breed</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Latitude5490" refreshedDate="46035.739981712963" createdVersion="8" refreshedVersion="8" minRefreshableVersion="3" recordCount="67" xr:uid="{54CF8F91-23C0-422E-8825-284CC68F5E7E}">
  <cacheSource type="worksheet">
    <worksheetSource ref="A1:K68" sheet="Cat Breed"/>
  </cacheSource>
  <cacheFields count="11">
    <cacheField name="BreedName" numFmtId="0">
      <sharedItems count="67">
        <s v="Abyssinian"/>
        <s v="American Curl"/>
        <s v="American Shorthair"/>
        <s v="American Wirehair"/>
        <s v="Applehead Siamese"/>
        <s v="Balinese"/>
        <s v="Bengal"/>
        <s v="Birman"/>
        <s v="Bobtail"/>
        <s v="Bombay"/>
        <s v="British Shorthair"/>
        <s v="Burmese"/>
        <s v="Burmilla"/>
        <s v="Calico"/>
        <s v="Canadian Hairless"/>
        <s v="Chartreux"/>
        <s v="Chausie"/>
        <s v="Chinchilla"/>
        <s v="Cornish Rex"/>
        <s v="Cymric"/>
        <s v="Devon Rex"/>
        <s v="Dilute Calico"/>
        <s v="Dilute Tortoiseshell"/>
        <s v="Domestic Long Hair"/>
        <s v="Domestic Medium Hair"/>
        <s v="Domestic Short Hair"/>
        <s v="Egyptian Mau"/>
        <s v="Exotic Shorthair"/>
        <s v="Extra-Toes Cat (Hemingway Polydactyl)"/>
        <s v="Havana"/>
        <s v="Himalayan"/>
        <s v="Japanese Bobtail"/>
        <s v="Javanese"/>
        <s v="Korat"/>
        <s v="LaPerm"/>
        <s v="Maine Coon"/>
        <s v="Manx"/>
        <s v="Munchkin"/>
        <s v="Nebelung"/>
        <s v="Norwegian Forest Cat"/>
        <s v="Ocicat"/>
        <s v="Oriental Long Hair"/>
        <s v="Oriental Short Hair"/>
        <s v="Oriental Tabby"/>
        <s v="Persian"/>
        <s v="Pixie-Bob"/>
        <s v="Ragamuffin"/>
        <s v="Ragdoll"/>
        <s v="Russian Blue"/>
        <s v="Scottish Fold"/>
        <s v="Selkirk Rex"/>
        <s v="Siamese"/>
        <s v="Siberian"/>
        <s v="Silver"/>
        <s v="Singapura"/>
        <s v="Snowshoe"/>
        <s v="Somali"/>
        <s v="Sphynx (hairless cat)"/>
        <s v="Tabby"/>
        <s v="Tiger"/>
        <s v="Tonkinese"/>
        <s v="Torbie"/>
        <s v="Tortoiseshell"/>
        <s v="Turkish Angora"/>
        <s v="Turkish Van"/>
        <s v="Tuxedo"/>
        <s v="Mixed Breed"/>
      </sharedItems>
    </cacheField>
    <cacheField name="AltBreedName" numFmtId="0">
      <sharedItems containsBlank="1"/>
    </cacheField>
    <cacheField name="LapCat" numFmtId="0">
      <sharedItems containsBlank="1"/>
    </cacheField>
    <cacheField name="Fur" numFmtId="0">
      <sharedItems containsBlank="1" count="5">
        <s v="Short"/>
        <s v="Medium"/>
        <s v="Long"/>
        <s v="Bald"/>
        <m/>
      </sharedItems>
    </cacheField>
    <cacheField name="MaleWtKg" numFmtId="0">
      <sharedItems containsString="0" containsBlank="1" containsNumber="1" containsInteger="1" minValue="1" maxValue="7"/>
    </cacheField>
    <cacheField name="Temperment" numFmtId="0">
      <sharedItems containsBlank="1" count="52">
        <s v="Active, Energetic, Independent, Intelligent, Gentle"/>
        <s v="Affectionate, Curious, Intelligent, Interactive, Lively, Playful, Social"/>
        <s v="Active, Curious, Easygoing, Playful, Calm"/>
        <s v="Affectionate, Curious, Gentle, Intelligent, Interactive, Lively, Loyal, Playful, Sensible, Social"/>
        <s v="Active, Agile, Clever, Sociable, Loving, Energetic"/>
        <s v="Affectionate, Intelligent, Playful"/>
        <s v="Active, Agile, Lively, Affectionate, Energetic, Rambunctious"/>
        <s v="Affectionate, Active, Gentle, Social"/>
        <s v="Intelligent, Interactive, Lively, Playful, Sensitive"/>
        <s v="Affectionate, Dependent, Gentle, Intelligent, Playful"/>
        <s v="Affectionate, Easygoing, Gentle, Loyal, Patient, Calm"/>
        <s v="Curious, Intelligent, Gentle, Social, Interactive, Playful, Lively"/>
        <s v="Easygoing, Friendly, Intelligent, Lively, Playful, Social"/>
        <s v="Loyal, Inquisitive, Friendly, Quiet, Gentle"/>
        <s v="Affectionate, Loyal, Intelligent, Social, Lively, Playful"/>
        <s v="Affectionate, Intelligent, Playful, Social"/>
        <s v="Active, Playful"/>
        <s v="Affectionate, Intelligent, Active, Curious, Playful"/>
        <s v="Gentle, Loyal, Intelligent, Playful"/>
        <s v="Intelligent, Active, Mischevious, Playful"/>
        <s v="Agile, Dependent, Gentle, Intelligent, Lively, Loyal, Playful"/>
        <s v="Affectionate, Sweet, Loyal, Quiet, Peaceful"/>
        <s v="Six-Toed"/>
        <s v="Affectionate, Curious, Demanding, Friendly, Intelligent, Playful"/>
        <s v="Dependent, Gentle, Intelligent, Quiet, Social"/>
        <s v="Active, Agile, Clever, Easygoing, Intelligent, Lively, Loyal, Playful, Social"/>
        <s v="Active, Devoted, Intelligent, Playful"/>
        <s v="Affectionate, Friendly, Gentle, Intelligent, Playful, Quiet"/>
        <s v="Intelligent, Clever, Active, Genlte"/>
        <s v="Adaptable, Intelligent, Loving, Gentle, Independent"/>
        <s v="Easygoing, Intelligent, Loyal, Playful, Social"/>
        <s v="Agile, Easygoing, Intelligent, Playful"/>
        <s v="Gentle, Quiet, Shy, Playful"/>
        <s v="Sweet, Active, Intelligent, Social, Playful, Lively, Curious"/>
        <s v="Active, Agile, Curious, Demanding, Friendly, Gentle, Lively, Playful, Social"/>
        <s v="Energetic, Affectionate, Intelligent, Social, Playful, Curious"/>
        <s v="Affectionate, Loyal, Sedate, Quiet"/>
        <s v="Affectionate, Social, Intelligent, Loyal"/>
        <s v="Affectionate, Friendly, Gentle, Calm"/>
        <s v="Affectioante, Friendly, Gentle, Quiet, Easygoing"/>
        <s v="Active, Dependent, Easygoing, Gentle, Intelligent, Loyal, Playful, Quiet"/>
        <s v="Affectionate, Intelligent, Loyal, Playful, Social, Sweet, Loving"/>
        <s v="Active, Affectionate, Dependent, Gentle, Patient, Playful, Quiet, Social"/>
        <s v="Intelligent, Loyal, Quiet, Active"/>
        <s v="Affectionate, Curious, Easygoing, Intelligent, Interactive, Lively, Loyal"/>
        <s v="Affectionate, Social, Intelligent, Sweet-tempered"/>
        <s v="Mischevious, Tenacious, Intelligent, Affectionate, Gentle, Interactive, Loyal"/>
        <s v="Playful, Social, Intelligent"/>
        <s v="Curious, Intelligent, Social, Lively, Outgoing, Playful, Affectionate"/>
        <s v="Affectionate, Agile, Clever, Gentle, Intelligent, Playful, Social"/>
        <s v="Agile, Intelligent, Loyal, Playful, Energetic"/>
        <m/>
      </sharedItems>
    </cacheField>
    <cacheField name="AvgKittenPrice" numFmtId="0">
      <sharedItems containsString="0" containsBlank="1" containsNumber="1" containsInteger="1" minValue="100" maxValue="2000"/>
    </cacheField>
    <cacheField name="MalaysiaPopularity" numFmtId="0">
      <sharedItems containsString="0" containsBlank="1" containsNumber="1" containsInteger="1" minValue="1" maxValue="10"/>
    </cacheField>
    <cacheField name="PopularityUS2017" numFmtId="0">
      <sharedItems containsString="0" containsBlank="1" containsNumber="1" containsInteger="1" minValue="1" maxValue="41"/>
    </cacheField>
    <cacheField name="Qty Sold" numFmtId="0">
      <sharedItems containsSemiMixedTypes="0" containsString="0" containsNumber="1" containsInteger="1" minValue="4" maxValue="309"/>
    </cacheField>
    <cacheField name="Average sales " numFmtId="0">
      <sharedItems containsSemiMixedTypes="0" containsString="0" containsNumber="1" containsInteger="1" minValue="4" maxValue="30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Latitude5490" refreshedDate="46035.769167939812" createdVersion="8" refreshedVersion="8" minRefreshableVersion="3" recordCount="67" xr:uid="{E525DB8A-3A7A-46B5-9EFC-0FBB6A379BF5}">
  <cacheSource type="worksheet">
    <worksheetSource name="Table1"/>
  </cacheSource>
  <cacheFields count="13">
    <cacheField name="BreedName" numFmtId="0">
      <sharedItems/>
    </cacheField>
    <cacheField name="AltBreedName" numFmtId="0">
      <sharedItems containsBlank="1"/>
    </cacheField>
    <cacheField name="LapCat" numFmtId="0">
      <sharedItems containsBlank="1" count="5">
        <s v="Lap"/>
        <s v="Non Lap"/>
        <s v="Generic"/>
        <s v="Rodent"/>
        <m/>
      </sharedItems>
    </cacheField>
    <cacheField name="Fur" numFmtId="0">
      <sharedItems containsBlank="1"/>
    </cacheField>
    <cacheField name="MaleWtKg" numFmtId="0">
      <sharedItems containsString="0" containsBlank="1" containsNumber="1" containsInteger="1" minValue="1" maxValue="7"/>
    </cacheField>
    <cacheField name="Temperment" numFmtId="0">
      <sharedItems containsBlank="1"/>
    </cacheField>
    <cacheField name="AvgKittenPrice" numFmtId="0">
      <sharedItems containsString="0" containsBlank="1" containsNumber="1" containsInteger="1" minValue="100" maxValue="2000"/>
    </cacheField>
    <cacheField name="MalaysiaPopularity" numFmtId="0">
      <sharedItems containsString="0" containsBlank="1" containsNumber="1" containsInteger="1" minValue="1" maxValue="10"/>
    </cacheField>
    <cacheField name="PopularityUS2017" numFmtId="0">
      <sharedItems containsString="0" containsBlank="1" containsNumber="1" containsInteger="1" minValue="1" maxValue="41"/>
    </cacheField>
    <cacheField name="Qty Sold" numFmtId="0">
      <sharedItems containsSemiMixedTypes="0" containsString="0" containsNumber="1" containsInteger="1" minValue="4" maxValue="309"/>
    </cacheField>
    <cacheField name="Average sales " numFmtId="0">
      <sharedItems containsSemiMixedTypes="0" containsString="0" containsNumber="1" containsInteger="1" minValue="4" maxValue="309"/>
    </cacheField>
    <cacheField name="With affectionate " numFmtId="0">
      <sharedItems count="2">
        <s v="Without Affectionate"/>
        <s v="With Affectionate"/>
      </sharedItems>
    </cacheField>
    <cacheField name="Column1" numFmtId="0">
      <sharedItems containsBlank="1"/>
    </cacheField>
  </cacheFields>
  <extLst>
    <ext xmlns:x14="http://schemas.microsoft.com/office/spreadsheetml/2009/9/main" uri="{725AE2AE-9491-48be-B2B4-4EB974FC3084}">
      <x14:pivotCacheDefinition pivotCacheId="161155065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Latitude5490" refreshedDate="46035.774076620371" createdVersion="8" refreshedVersion="8" minRefreshableVersion="3" recordCount="250" xr:uid="{77E921AF-FF63-4100-82B2-0BB78ECB7AFC}">
  <cacheSource type="worksheet">
    <worksheetSource ref="A1:O251" sheet="Dog Breed"/>
  </cacheSource>
  <cacheFields count="15">
    <cacheField name="BreedName" numFmtId="0">
      <sharedItems/>
    </cacheField>
    <cacheField name="AltBreedName" numFmtId="0">
      <sharedItems containsBlank="1"/>
    </cacheField>
    <cacheField name="Group1" numFmtId="0">
      <sharedItems containsBlank="1"/>
    </cacheField>
    <cacheField name="Group2" numFmtId="0">
      <sharedItems containsBlank="1" count="11">
        <s v="Companion"/>
        <s v="Sight"/>
        <m/>
        <s v="Terrier"/>
        <s v="Guardian"/>
        <s v="Herding"/>
        <s v="Northern"/>
        <s v="Gun"/>
        <s v="Scenthound"/>
        <s v="Southern"/>
        <s v="Gun Dogs"/>
      </sharedItems>
    </cacheField>
    <cacheField name="MaleWtKg" numFmtId="0">
      <sharedItems containsString="0" containsBlank="1" containsNumber="1" containsInteger="1" minValue="2" maxValue="90"/>
    </cacheField>
    <cacheField name="Temperment" numFmtId="0">
      <sharedItems containsBlank="1"/>
    </cacheField>
    <cacheField name="AvgPupPrice" numFmtId="0">
      <sharedItems containsString="0" containsBlank="1" containsNumber="1" containsInteger="1" minValue="350" maxValue="39000"/>
    </cacheField>
    <cacheField name="Intelligence" numFmtId="0">
      <sharedItems containsString="0" containsBlank="1" containsNumber="1" containsInteger="1" minValue="1" maxValue="79"/>
    </cacheField>
    <cacheField name="Watchdog" numFmtId="0">
      <sharedItems containsString="0" containsBlank="1" containsNumber="1" containsInteger="1" minValue="1" maxValue="6"/>
    </cacheField>
    <cacheField name="MalaysiaGuardedDog" numFmtId="0">
      <sharedItems containsString="0" containsBlank="1" containsNumber="1" containsInteger="1" minValue="1" maxValue="1"/>
    </cacheField>
    <cacheField name="MalaysiaProhibitedDog" numFmtId="0">
      <sharedItems containsString="0" containsBlank="1" containsNumber="1" containsInteger="1" minValue="1" maxValue="1"/>
    </cacheField>
    <cacheField name="MalaysiaPopularity" numFmtId="0">
      <sharedItems containsString="0" containsBlank="1" containsNumber="1" containsInteger="1" minValue="1" maxValue="8"/>
    </cacheField>
    <cacheField name="PopularityUS2017" numFmtId="0">
      <sharedItems containsString="0" containsBlank="1" containsNumber="1" containsInteger="1" minValue="1" maxValue="190"/>
    </cacheField>
    <cacheField name="Qty Sold" numFmtId="0">
      <sharedItems containsSemiMixedTypes="0" containsString="0" containsNumber="1" containsInteger="1" minValue="4" maxValue="74172"/>
    </cacheField>
    <cacheField name="Average sale " numFmtId="0">
      <sharedItems containsSemiMixedTypes="0" containsString="0" containsNumber="1" containsInteger="1" minValue="4" maxValue="7417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Latitude5490" refreshedDate="46035.777899421293" createdVersion="8" refreshedVersion="8" minRefreshableVersion="3" recordCount="250" xr:uid="{99AB1409-F125-405E-83B2-E14DA59F9CA2}">
  <cacheSource type="worksheet">
    <worksheetSource name="Table2"/>
  </cacheSource>
  <cacheFields count="16">
    <cacheField name="BreedName" numFmtId="0">
      <sharedItems count="249">
        <s v="Affenpinscher"/>
        <s v="Afghan Hound"/>
        <s v="African Hunting Dog"/>
        <s v="Airedale Terrier"/>
        <s v="Akbash"/>
        <s v="Akita"/>
        <s v="Alaskan Malamute"/>
        <s v="American Bulldog"/>
        <s v="American Eskimo Dog"/>
        <s v="American Hairless Terrier"/>
        <s v="American Staffordshire Terrier"/>
        <s v="American Water Spaniel"/>
        <s v="Anatolian Shepherd"/>
        <s v="Appenzell Mountain Dog"/>
        <s v="Australian Cattle Dog/Blue Heeler"/>
        <s v="Australian Kelpie"/>
        <s v="Australian Shepherd"/>
        <s v="Australian Terrier"/>
        <s v="Basenji"/>
        <s v="Basset Hound"/>
        <s v="Beagle"/>
        <s v="Bearded Collie"/>
        <s v="Beauceron"/>
        <s v="Bedlington Terrier"/>
        <s v="Belgian Shepherd Dog Sheepdog"/>
        <s v="Belgian Shepherd Laekenois"/>
        <s v="Belgian Shepherd Malinois"/>
        <s v="Belgian Shepherd Tervuren"/>
        <s v="Bernese Mountain Dog"/>
        <s v="Bichon Frise"/>
        <s v="Black and Tan Coonhound"/>
        <s v="Black Labrador Retriever"/>
        <s v="Black Mouth Cur"/>
        <s v="Black Russian Terrier"/>
        <s v="Bloodhound"/>
        <s v="Blue Lacy"/>
        <s v="Bluetick Coonhound"/>
        <s v="Boerboel"/>
        <s v="Bolognese"/>
        <s v="Border Collie"/>
        <s v="Border Terrier"/>
        <s v="Borzoi"/>
        <s v="Boston Terrier"/>
        <s v="Bouvier des Flanders"/>
        <s v="Boxer"/>
        <s v="Boykin Spaniel"/>
        <s v="Briard"/>
        <s v="Brittany Spaniel"/>
        <s v="Brussels Griffon"/>
        <s v="Bull Terrier"/>
        <s v="Bullmastiff"/>
        <s v="Cairn Terrier"/>
        <s v="Canaan Dog"/>
        <s v="Cane Corso Mastiff"/>
        <s v="Carolina Dog"/>
        <s v="Catahoula Leopard Dog"/>
        <s v="Cattle Dog"/>
        <s v="Caucasian Sheepdog (Caucasian Ovtcharka)"/>
        <s v="Cavalier King Charles Spaniel"/>
        <s v="Chesapeake Bay Retriever"/>
        <s v="Chihuahua"/>
        <s v="Chinese Crested Dog"/>
        <s v="Chinese Foo Dog"/>
        <s v="Chinook"/>
        <s v="Chocolate Labrador Retriever"/>
        <s v="Chow Chow"/>
        <s v="Cirneco dell'Etna"/>
        <s v="Clumber Spaniel"/>
        <s v="Cockapoo"/>
        <s v="Cocker Spaniel"/>
        <s v="Collie"/>
        <s v="Coonhound"/>
        <s v="Corgi"/>
        <s v="Coton de Tulear"/>
        <s v="Curly-Coated Retriever"/>
        <s v="Dachshund"/>
        <s v="Dalmatian"/>
        <s v="Dandi Dinmont Terrier"/>
        <s v="Dhole"/>
        <s v="Dingo"/>
        <s v="Doberman Pinscher"/>
        <s v="Dogo Argentino"/>
        <s v="Dogue de Bordeaux"/>
        <s v="Dutch Shepherd"/>
        <s v="English Bulldog"/>
        <s v="English Cocker Spaniel"/>
        <s v="English Coonhound"/>
        <s v="English Pointer"/>
        <s v="English Setter"/>
        <s v="English Shepherd"/>
        <s v="English Springer Spaniel"/>
        <s v="English Toy Spaniel"/>
        <s v="Entlebucher"/>
        <s v="Eskimo Dog"/>
        <s v="Feist"/>
        <s v="Field Spaniel"/>
        <s v="Fila Brasileiro"/>
        <s v="Finnish Lapphund"/>
        <s v="Finnish Spitz"/>
        <s v="Flat-coated Retriever"/>
        <s v="Fox Terrier"/>
        <s v="Foxhound"/>
        <s v="French Bulldog"/>
        <s v="Galgo Spanish Greyhound"/>
        <s v="German Pinscher"/>
        <s v="German Shepherd Dog"/>
        <s v="German Shorthaired Pointer"/>
        <s v="German Spitz"/>
        <s v="German Wirehaired Pointer"/>
        <s v="Giant Schnauzer"/>
        <s v="Glen of Imaal Terrier"/>
        <s v="Golden Retriever"/>
        <s v="Gordon Setter"/>
        <s v="Great Dane"/>
        <s v="Great Pyrenees"/>
        <s v="Greater Swiss Mountain Dog"/>
        <s v="Greyhound"/>
        <s v="Harrier"/>
        <s v="Havanese"/>
        <s v="Hound"/>
        <s v="Hovawart"/>
        <s v="Husky"/>
        <s v="Ibizan Hound"/>
        <s v="Illyrian Sheepdog"/>
        <s v="Irish Setter"/>
        <s v="Irish Terrier"/>
        <s v="Irish Water Spaniel"/>
        <s v="Irish Wolfhound"/>
        <s v="Italian Greyhound"/>
        <s v="Italian Spinone"/>
        <s v="Jack Russell Terrier"/>
        <s v="Jack Russell Terrier (Parson Russell Terrier)"/>
        <s v="Japanese Chin"/>
        <s v="Jindo"/>
        <s v="Kai Dog"/>
        <s v="Karelian Bear Dog"/>
        <s v="Keeshond"/>
        <s v="Kerry Blue Terrier"/>
        <s v="Kishu"/>
        <s v="Klee Kai"/>
        <s v="Komondor"/>
        <s v="Kuvasz"/>
        <s v="Kyi Leo"/>
        <s v="Labrador Retriever"/>
        <s v="Lakeland Terrier"/>
        <s v="Lancashire Heeler"/>
        <s v="Leonberger"/>
        <s v="Lhasa Apso"/>
        <s v="Lowchen"/>
        <s v="Maltese"/>
        <s v="Manchester Terrier"/>
        <s v="Maremma Sheepdog"/>
        <s v="Mastiff"/>
        <s v="McNab"/>
        <s v="Miniature Pinscher"/>
        <s v="Mountain Cur"/>
        <s v="Mountain Dog"/>
        <s v="Munsterlander"/>
        <s v="Neapolitan Mastiff"/>
        <s v="New Guinea Singing Dog"/>
        <s v="Newfoundland Dog"/>
        <s v="Norfolk Terrier"/>
        <s v="Norwegian Buhund"/>
        <s v="Norwegian Elkhound"/>
        <s v="Norwegian Lundehund"/>
        <s v="Norwich Terrier"/>
        <s v="Nova Scotia Duck-Tolling Retriever"/>
        <s v="Old English Sheepdog"/>
        <s v="Otterhound"/>
        <s v="Papillon"/>
        <s v="Patterdale Terrier (Fell Terrier)"/>
        <s v="Pekingese"/>
        <s v="Peruvian Inca Orchid"/>
        <s v="Petit Basset Griffon Vendeen"/>
        <s v="Pharaoh Hound"/>
        <s v="Pit Bull Terrier"/>
        <s v="Plott Hound"/>
        <s v="Podengo Portugueso"/>
        <s v="Pointer"/>
        <s v="Polish Lowland Sheepdog"/>
        <s v="Pomeranian"/>
        <s v="Poodle"/>
        <s v="Standard Poodle"/>
        <s v="Miniature Poodle"/>
        <s v="Toy Poodle"/>
        <s v="Portuguese Water Dog"/>
        <s v="Presa Canario"/>
        <s v="Pug"/>
        <s v="Puli"/>
        <s v="Pumi"/>
        <s v="Rat Terrier"/>
        <s v="Redbone Coonhound"/>
        <s v="Retriever"/>
        <s v="Rhodesian Ridgeback"/>
        <s v="Rottweiler"/>
        <s v="Saint Bernard"/>
        <s v="Saluki"/>
        <s v="Samoyed"/>
        <s v="Sarplaninac"/>
        <s v="Schipperke"/>
        <s v="Miniature Schnauzer"/>
        <s v="Schnauzer"/>
        <s v="Scottish Deerhound"/>
        <s v="Scottish Terrier Scottie"/>
        <s v="Sealyham Terrier"/>
        <s v="Setter"/>
        <s v="Shar Pei"/>
        <s v="Sheep Dog"/>
        <s v="Shepherd"/>
        <s v="Shetland Sheepdog Sheltie"/>
        <s v="Shiba Inu"/>
        <s v="Shih Tzu"/>
        <s v="Siberian Husky"/>
        <s v="Silky Terrier"/>
        <s v="Skye Terrier"/>
        <s v="Sloughi"/>
        <s v="Smooth Fox Terrier"/>
        <s v="South Russian Ovtcharka"/>
        <s v="Spaniel"/>
        <s v="Spitz"/>
        <s v="Staffordshire Bull Terrier"/>
        <s v="Sussex Spaniel"/>
        <s v="Swedish Vallhund"/>
        <s v="Terrier"/>
        <s v="Thai Ridgeback"/>
        <s v="Tibetan Mastiff"/>
        <s v="Tibetan Spaniel"/>
        <s v="Tibetan Terrier"/>
        <s v="Tosa Inu"/>
        <s v="Toy Fox Terrier"/>
        <s v="Treeing Walker Coonhound"/>
        <s v="Vizsla"/>
        <s v="Weimaraner"/>
        <s v="Welsh Corgi"/>
        <s v="Cardigan"/>
        <s v="Pembroke"/>
        <s v="Welsh Springer Spaniel"/>
        <s v="Welsh Terrier"/>
        <s v="West Highland White Terrier Westie"/>
        <s v="Wheaten Terrier"/>
        <s v="Whippet"/>
        <s v="White German Shepherd"/>
        <s v="Wire Fox Terrier"/>
        <s v="Wire-haired Pointing Griffon"/>
        <s v="Wirehaired Terrier"/>
        <s v="Xoloitzcuintle/Mexican Hairless"/>
        <s v="Yellow Labrador Retriever"/>
        <s v="Yorkshire Terrier Yorkie"/>
        <s v="Mixed Breed"/>
      </sharedItems>
    </cacheField>
    <cacheField name="AltBreedName" numFmtId="0">
      <sharedItems containsBlank="1"/>
    </cacheField>
    <cacheField name="Group1" numFmtId="0">
      <sharedItems containsBlank="1" count="9">
        <s v="Toy"/>
        <s v="Sporting"/>
        <m/>
        <s v="Terrier"/>
        <s v="Working"/>
        <s v="Non Sporting"/>
        <s v="Herding"/>
        <s v="Hound"/>
        <s v="Southern"/>
      </sharedItems>
    </cacheField>
    <cacheField name="Group2" numFmtId="0">
      <sharedItems containsBlank="1"/>
    </cacheField>
    <cacheField name="MaleWtKg" numFmtId="0">
      <sharedItems containsString="0" containsBlank="1" containsNumber="1" containsInteger="1" minValue="2" maxValue="90" count="61">
        <n v="4"/>
        <n v="28"/>
        <n v="23"/>
        <n v="26"/>
        <n v="53"/>
        <n v="44"/>
        <n v="40"/>
        <n v="38"/>
        <n v="8"/>
        <n v="5"/>
        <n v="16"/>
        <n v="52"/>
        <n v="27"/>
        <n v="21"/>
        <n v="11"/>
        <n v="50"/>
        <n v="9"/>
        <n v="32"/>
        <n v="34"/>
        <n v="55"/>
        <n v="51"/>
        <n v="46"/>
        <n v="18"/>
        <n v="80"/>
        <n v="3"/>
        <n v="17"/>
        <n v="7"/>
        <n v="41"/>
        <n v="42"/>
        <n v="30"/>
        <n v="15"/>
        <n v="35"/>
        <n v="47"/>
        <n v="63"/>
        <n v="33"/>
        <n v="2"/>
        <n v="25"/>
        <n v="10"/>
        <n v="31"/>
        <n v="13"/>
        <n v="6"/>
        <n v="43"/>
        <n v="60"/>
        <n v="14"/>
        <n v="19"/>
        <n v="12"/>
        <n v="29"/>
        <n v="77"/>
        <n v="45"/>
        <n v="22"/>
        <n v="24"/>
        <n v="20"/>
        <n v="59"/>
        <n v="49"/>
        <n v="64"/>
        <n v="90"/>
        <n v="65"/>
        <n v="39"/>
        <n v="66"/>
        <n v="71"/>
        <m/>
      </sharedItems>
    </cacheField>
    <cacheField name="Temperment" numFmtId="0">
      <sharedItems containsBlank="1"/>
    </cacheField>
    <cacheField name="AvgPupPrice" numFmtId="0">
      <sharedItems containsString="0" containsBlank="1" containsNumber="1" containsInteger="1" minValue="350" maxValue="39000"/>
    </cacheField>
    <cacheField name="Intelligence" numFmtId="0">
      <sharedItems containsString="0" containsBlank="1" containsNumber="1" containsInteger="1" minValue="1" maxValue="79"/>
    </cacheField>
    <cacheField name="Watchdog" numFmtId="0">
      <sharedItems containsString="0" containsBlank="1" containsNumber="1" containsInteger="1" minValue="1" maxValue="6"/>
    </cacheField>
    <cacheField name="MalaysiaGuardedDog" numFmtId="0">
      <sharedItems containsString="0" containsBlank="1" containsNumber="1" containsInteger="1" minValue="1" maxValue="1"/>
    </cacheField>
    <cacheField name="MalaysiaProhibitedDog" numFmtId="0">
      <sharedItems containsString="0" containsBlank="1" containsNumber="1" containsInteger="1" minValue="1" maxValue="1"/>
    </cacheField>
    <cacheField name="MalaysiaPopularity" numFmtId="0">
      <sharedItems containsString="0" containsBlank="1" containsNumber="1" containsInteger="1" minValue="1" maxValue="8" count="9">
        <m/>
        <n v="8"/>
        <n v="6"/>
        <n v="4"/>
        <n v="1"/>
        <n v="7"/>
        <n v="3"/>
        <n v="2"/>
        <n v="5"/>
      </sharedItems>
    </cacheField>
    <cacheField name="PopularityUS2017" numFmtId="0">
      <sharedItems containsString="0" containsBlank="1" containsNumber="1" containsInteger="1" minValue="1" maxValue="190" count="178">
        <n v="147"/>
        <n v="93"/>
        <m/>
        <n v="55"/>
        <n v="47"/>
        <n v="59"/>
        <n v="118"/>
        <n v="126"/>
        <n v="83"/>
        <n v="167"/>
        <n v="86"/>
        <n v="56"/>
        <n v="17"/>
        <n v="137"/>
        <n v="84"/>
        <n v="39"/>
        <n v="6"/>
        <n v="125"/>
        <n v="141"/>
        <n v="151"/>
        <n v="120"/>
        <n v="44"/>
        <n v="103"/>
        <n v="25"/>
        <n v="46"/>
        <n v="130"/>
        <n v="1"/>
        <n v="116"/>
        <n v="50"/>
        <n v="132"/>
        <n v="124"/>
        <n v="38"/>
        <n v="92"/>
        <n v="102"/>
        <n v="21"/>
        <n v="85"/>
        <n v="11"/>
        <n v="98"/>
        <n v="127"/>
        <n v="26"/>
        <n v="94"/>
        <n v="60"/>
        <n v="51"/>
        <n v="69"/>
        <n v="175"/>
        <n v="37"/>
        <n v="19"/>
        <n v="43"/>
        <n v="32"/>
        <n v="79"/>
        <n v="179"/>
        <n v="76"/>
        <n v="184"/>
        <n v="140"/>
        <n v="29"/>
        <n v="40"/>
        <n v="68"/>
        <n v="81"/>
        <n v="171"/>
        <n v="13"/>
        <n v="63"/>
        <n v="182"/>
        <n v="16"/>
        <n v="67"/>
        <n v="5"/>
        <n v="52"/>
        <n v="178"/>
        <n v="113"/>
        <n v="95"/>
        <n v="27"/>
        <n v="134"/>
        <n v="152"/>
        <n v="145"/>
        <n v="173"/>
        <n v="177"/>
        <n v="96"/>
        <n v="122"/>
        <n v="187"/>
        <n v="4"/>
        <n v="136"/>
        <n v="2"/>
        <n v="10"/>
        <n v="62"/>
        <n v="80"/>
        <n v="158"/>
        <n v="3"/>
        <n v="104"/>
        <n v="14"/>
        <n v="66"/>
        <n v="75"/>
        <n v="156"/>
        <n v="183"/>
        <n v="23"/>
        <n v="12"/>
        <n v="165"/>
        <n v="72"/>
        <n v="114"/>
        <n v="164"/>
        <n v="73"/>
        <n v="74"/>
        <n v="111"/>
        <n v="78"/>
        <n v="119"/>
        <n v="108"/>
        <n v="87"/>
        <n v="129"/>
        <n v="163"/>
        <n v="157"/>
        <n v="138"/>
        <n v="100"/>
        <n v="77"/>
        <n v="169"/>
        <n v="33"/>
        <n v="135"/>
        <n v="28"/>
        <n v="71"/>
        <n v="107"/>
        <n v="36"/>
        <n v="128"/>
        <n v="170"/>
        <n v="91"/>
        <n v="190"/>
        <n v="105"/>
        <n v="89"/>
        <n v="70"/>
        <n v="186"/>
        <n v="53"/>
        <n v="88"/>
        <n v="160"/>
        <n v="174"/>
        <n v="166"/>
        <n v="159"/>
        <n v="176"/>
        <n v="22"/>
        <n v="7"/>
        <n v="54"/>
        <n v="31"/>
        <n v="142"/>
        <n v="162"/>
        <n v="97"/>
        <n v="139"/>
        <n v="41"/>
        <n v="8"/>
        <n v="48"/>
        <n v="123"/>
        <n v="57"/>
        <n v="110"/>
        <n v="18"/>
        <n v="90"/>
        <n v="168"/>
        <n v="58"/>
        <n v="150"/>
        <n v="64"/>
        <n v="24"/>
        <n v="45"/>
        <n v="20"/>
        <n v="106"/>
        <n v="172"/>
        <n v="188"/>
        <n v="82"/>
        <n v="161"/>
        <n v="149"/>
        <n v="42"/>
        <n v="153"/>
        <n v="121"/>
        <n v="101"/>
        <n v="112"/>
        <n v="131"/>
        <n v="30"/>
        <n v="34"/>
        <n v="133"/>
        <n v="109"/>
        <n v="49"/>
        <n v="61"/>
        <n v="99"/>
        <n v="65"/>
        <n v="143"/>
        <n v="9"/>
      </sharedItems>
    </cacheField>
    <cacheField name="Qty Sold" numFmtId="0">
      <sharedItems containsSemiMixedTypes="0" containsString="0" containsNumber="1" containsInteger="1" minValue="4" maxValue="74172"/>
    </cacheField>
    <cacheField name="Average sale " numFmtId="0">
      <sharedItems containsSemiMixedTypes="0" containsString="0" containsNumber="1" containsInteger="1" minValue="4" maxValue="74172"/>
    </cacheField>
    <cacheField name="Affectiontae" numFmtId="0">
      <sharedItems count="2">
        <s v="Without Affectionate"/>
        <s v="With Affectionate"/>
      </sharedItems>
    </cacheField>
  </cacheFields>
  <extLst>
    <ext xmlns:x14="http://schemas.microsoft.com/office/spreadsheetml/2009/9/main" uri="{725AE2AE-9491-48be-B2B4-4EB974FC3084}">
      <x14:pivotCacheDefinition pivotCacheId="2060593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x v="0"/>
    <m/>
    <s v="Lap"/>
    <x v="0"/>
    <n v="4"/>
    <x v="0"/>
    <n v="1050"/>
    <m/>
    <n v="7"/>
    <n v="79"/>
    <n v="79"/>
  </r>
  <r>
    <x v="1"/>
    <m/>
    <s v="Lap"/>
    <x v="1"/>
    <n v="4"/>
    <x v="1"/>
    <n v="1400"/>
    <m/>
    <n v="26"/>
    <n v="93"/>
    <n v="93"/>
  </r>
  <r>
    <x v="2"/>
    <m/>
    <s v="Lap"/>
    <x v="0"/>
    <n v="6"/>
    <x v="2"/>
    <n v="900"/>
    <n v="5"/>
    <n v="6"/>
    <n v="121"/>
    <n v="121"/>
  </r>
  <r>
    <x v="3"/>
    <m/>
    <s v="Lap"/>
    <x v="1"/>
    <n v="6"/>
    <x v="3"/>
    <n v="1000"/>
    <m/>
    <n v="41"/>
    <n v="11"/>
    <n v="11"/>
  </r>
  <r>
    <x v="4"/>
    <m/>
    <s v="Lap"/>
    <x v="0"/>
    <n v="6"/>
    <x v="4"/>
    <n v="1600"/>
    <m/>
    <m/>
    <n v="15"/>
    <n v="15"/>
  </r>
  <r>
    <x v="5"/>
    <m/>
    <s v="Non Lap"/>
    <x v="2"/>
    <n v="4"/>
    <x v="5"/>
    <n v="1300"/>
    <m/>
    <n v="31"/>
    <n v="5"/>
    <n v="5"/>
  </r>
  <r>
    <x v="6"/>
    <m/>
    <s v="Non Lap"/>
    <x v="1"/>
    <n v="6"/>
    <x v="6"/>
    <n v="1250"/>
    <n v="8"/>
    <m/>
    <n v="10"/>
    <n v="10"/>
  </r>
  <r>
    <x v="7"/>
    <m/>
    <s v="Lap"/>
    <x v="2"/>
    <n v="5"/>
    <x v="7"/>
    <n v="850"/>
    <m/>
    <n v="15"/>
    <n v="93"/>
    <n v="93"/>
  </r>
  <r>
    <x v="8"/>
    <m/>
    <s v="Lap"/>
    <x v="1"/>
    <n v="6"/>
    <x v="8"/>
    <n v="800"/>
    <m/>
    <n v="36"/>
    <n v="45"/>
    <n v="45"/>
  </r>
  <r>
    <x v="9"/>
    <m/>
    <s v="Lap"/>
    <x v="0"/>
    <n v="4"/>
    <x v="9"/>
    <n v="500"/>
    <m/>
    <n v="34"/>
    <n v="29"/>
    <n v="29"/>
  </r>
  <r>
    <x v="10"/>
    <m/>
    <s v="Lap"/>
    <x v="0"/>
    <n v="7"/>
    <x v="10"/>
    <n v="1750"/>
    <n v="6"/>
    <n v="5"/>
    <n v="26"/>
    <n v="26"/>
  </r>
  <r>
    <x v="11"/>
    <m/>
    <s v="Lap"/>
    <x v="0"/>
    <n v="5"/>
    <x v="11"/>
    <n v="1250"/>
    <n v="4"/>
    <n v="16"/>
    <n v="77"/>
    <n v="77"/>
  </r>
  <r>
    <x v="12"/>
    <m/>
    <s v="Lap"/>
    <x v="2"/>
    <n v="5"/>
    <x v="12"/>
    <n v="600"/>
    <m/>
    <n v="38"/>
    <n v="55"/>
    <n v="55"/>
  </r>
  <r>
    <x v="13"/>
    <m/>
    <s v="Generic"/>
    <x v="0"/>
    <n v="6"/>
    <x v="2"/>
    <n v="100"/>
    <m/>
    <m/>
    <n v="54"/>
    <n v="54"/>
  </r>
  <r>
    <x v="14"/>
    <m/>
    <s v="Lap"/>
    <x v="3"/>
    <n v="5"/>
    <x v="13"/>
    <n v="1450"/>
    <m/>
    <n v="8"/>
    <n v="35"/>
    <n v="35"/>
  </r>
  <r>
    <x v="15"/>
    <m/>
    <s v="Lap"/>
    <x v="0"/>
    <n v="6"/>
    <x v="14"/>
    <n v="1250"/>
    <m/>
    <n v="27"/>
    <n v="47"/>
    <n v="47"/>
  </r>
  <r>
    <x v="16"/>
    <m/>
    <s v="Non Lap"/>
    <x v="0"/>
    <n v="5"/>
    <x v="15"/>
    <n v="1500"/>
    <m/>
    <m/>
    <n v="84"/>
    <n v="84"/>
  </r>
  <r>
    <x v="17"/>
    <m/>
    <s v="Rodent"/>
    <x v="0"/>
    <n v="1"/>
    <x v="16"/>
    <n v="200"/>
    <m/>
    <m/>
    <n v="93"/>
    <n v="93"/>
  </r>
  <r>
    <x v="18"/>
    <m/>
    <s v="Lap"/>
    <x v="0"/>
    <n v="3"/>
    <x v="17"/>
    <n v="1000"/>
    <m/>
    <n v="11"/>
    <n v="101"/>
    <n v="101"/>
  </r>
  <r>
    <x v="19"/>
    <m/>
    <s v="Lap"/>
    <x v="2"/>
    <n v="5"/>
    <x v="18"/>
    <n v="400"/>
    <m/>
    <m/>
    <n v="125"/>
    <n v="125"/>
  </r>
  <r>
    <x v="20"/>
    <m/>
    <s v="Lap"/>
    <x v="0"/>
    <n v="3"/>
    <x v="19"/>
    <n v="800"/>
    <m/>
    <n v="12"/>
    <n v="115"/>
    <n v="115"/>
  </r>
  <r>
    <x v="21"/>
    <m/>
    <s v="Generic"/>
    <x v="0"/>
    <n v="6"/>
    <x v="2"/>
    <n v="100"/>
    <m/>
    <m/>
    <n v="154"/>
    <n v="154"/>
  </r>
  <r>
    <x v="22"/>
    <m/>
    <s v="Generic"/>
    <x v="0"/>
    <n v="6"/>
    <x v="2"/>
    <n v="100"/>
    <m/>
    <m/>
    <n v="198"/>
    <n v="198"/>
  </r>
  <r>
    <x v="23"/>
    <m/>
    <s v="Generic"/>
    <x v="2"/>
    <n v="6"/>
    <x v="2"/>
    <n v="100"/>
    <m/>
    <m/>
    <n v="76"/>
    <n v="76"/>
  </r>
  <r>
    <x v="24"/>
    <m/>
    <s v="Generic"/>
    <x v="1"/>
    <n v="6"/>
    <x v="2"/>
    <n v="100"/>
    <m/>
    <m/>
    <n v="95"/>
    <n v="95"/>
  </r>
  <r>
    <x v="25"/>
    <m/>
    <s v="Generic"/>
    <x v="0"/>
    <n v="6"/>
    <x v="2"/>
    <n v="100"/>
    <m/>
    <m/>
    <n v="39"/>
    <n v="39"/>
  </r>
  <r>
    <x v="26"/>
    <m/>
    <s v="Lap"/>
    <x v="1"/>
    <n v="5"/>
    <x v="20"/>
    <n v="800"/>
    <m/>
    <n v="20"/>
    <n v="45"/>
    <n v="45"/>
  </r>
  <r>
    <x v="27"/>
    <m/>
    <s v="Lap"/>
    <x v="0"/>
    <n v="5"/>
    <x v="21"/>
    <n v="1750"/>
    <n v="2"/>
    <n v="1"/>
    <n v="54"/>
    <n v="54"/>
  </r>
  <r>
    <x v="28"/>
    <m/>
    <s v="Lap"/>
    <x v="1"/>
    <n v="5"/>
    <x v="22"/>
    <n v="2000"/>
    <m/>
    <m/>
    <n v="67"/>
    <n v="67"/>
  </r>
  <r>
    <x v="29"/>
    <m/>
    <s v="Lap"/>
    <x v="1"/>
    <n v="4"/>
    <x v="23"/>
    <n v="900"/>
    <m/>
    <n v="35"/>
    <n v="71"/>
    <n v="71"/>
  </r>
  <r>
    <x v="30"/>
    <m/>
    <s v="Lap"/>
    <x v="2"/>
    <n v="6"/>
    <x v="24"/>
    <n v="800"/>
    <m/>
    <m/>
    <n v="72"/>
    <n v="72"/>
  </r>
  <r>
    <x v="31"/>
    <m/>
    <s v="Lap"/>
    <x v="2"/>
    <n v="4"/>
    <x v="25"/>
    <n v="800"/>
    <m/>
    <n v="24"/>
    <n v="43"/>
    <n v="43"/>
  </r>
  <r>
    <x v="32"/>
    <m/>
    <s v="Non Lap"/>
    <x v="1"/>
    <n v="4"/>
    <x v="26"/>
    <n v="1200"/>
    <m/>
    <m/>
    <n v="57"/>
    <n v="57"/>
  </r>
  <r>
    <x v="33"/>
    <m/>
    <s v="Lap"/>
    <x v="2"/>
    <n v="4"/>
    <x v="27"/>
    <n v="600"/>
    <m/>
    <n v="40"/>
    <n v="78"/>
    <n v="78"/>
  </r>
  <r>
    <x v="34"/>
    <m/>
    <s v="Lap"/>
    <x v="2"/>
    <n v="4"/>
    <x v="28"/>
    <n v="500"/>
    <m/>
    <n v="39"/>
    <n v="89"/>
    <n v="89"/>
  </r>
  <r>
    <x v="35"/>
    <m/>
    <s v="Lap"/>
    <x v="2"/>
    <n v="7"/>
    <x v="29"/>
    <n v="1600"/>
    <n v="1"/>
    <n v="3"/>
    <n v="99"/>
    <n v="99"/>
  </r>
  <r>
    <x v="36"/>
    <m/>
    <s v="Lap"/>
    <x v="0"/>
    <n v="5"/>
    <x v="30"/>
    <n v="500"/>
    <m/>
    <n v="23"/>
    <n v="110"/>
    <n v="110"/>
  </r>
  <r>
    <x v="37"/>
    <m/>
    <s v="Lap"/>
    <x v="1"/>
    <n v="3"/>
    <x v="31"/>
    <n v="1500"/>
    <m/>
    <m/>
    <n v="155"/>
    <n v="155"/>
  </r>
  <r>
    <x v="38"/>
    <m/>
    <s v="Lap"/>
    <x v="2"/>
    <n v="4"/>
    <x v="32"/>
    <n v="500"/>
    <m/>
    <m/>
    <n v="45"/>
    <n v="45"/>
  </r>
  <r>
    <x v="39"/>
    <m/>
    <s v="Non Lap"/>
    <x v="2"/>
    <n v="6"/>
    <x v="33"/>
    <n v="1000"/>
    <n v="9"/>
    <n v="14"/>
    <n v="59"/>
    <n v="59"/>
  </r>
  <r>
    <x v="40"/>
    <m/>
    <s v="Non Lap"/>
    <x v="0"/>
    <n v="6"/>
    <x v="34"/>
    <n v="850"/>
    <m/>
    <n v="21"/>
    <n v="55"/>
    <n v="55"/>
  </r>
  <r>
    <x v="41"/>
    <m/>
    <s v="Lap"/>
    <x v="2"/>
    <n v="4"/>
    <x v="35"/>
    <n v="1150"/>
    <m/>
    <n v="13"/>
    <n v="23"/>
    <n v="23"/>
  </r>
  <r>
    <x v="42"/>
    <m/>
    <s v="Lap"/>
    <x v="0"/>
    <n v="4"/>
    <x v="35"/>
    <n v="1150"/>
    <m/>
    <n v="13"/>
    <n v="45"/>
    <n v="45"/>
  </r>
  <r>
    <x v="43"/>
    <m/>
    <s v="Lap"/>
    <x v="1"/>
    <n v="4"/>
    <x v="35"/>
    <n v="1150"/>
    <m/>
    <n v="13"/>
    <n v="101"/>
    <n v="101"/>
  </r>
  <r>
    <x v="44"/>
    <m/>
    <s v="Lap"/>
    <x v="2"/>
    <n v="6"/>
    <x v="36"/>
    <n v="1250"/>
    <n v="3"/>
    <n v="2"/>
    <n v="115"/>
    <n v="115"/>
  </r>
  <r>
    <x v="45"/>
    <m/>
    <s v="Lap"/>
    <x v="1"/>
    <n v="6"/>
    <x v="37"/>
    <n v="700"/>
    <m/>
    <m/>
    <n v="309"/>
    <n v="309"/>
  </r>
  <r>
    <x v="46"/>
    <m/>
    <s v="Lap"/>
    <x v="1"/>
    <n v="7"/>
    <x v="38"/>
    <n v="1000"/>
    <m/>
    <n v="32"/>
    <n v="77"/>
    <n v="77"/>
  </r>
  <r>
    <x v="47"/>
    <m/>
    <s v="Lap"/>
    <x v="2"/>
    <n v="7"/>
    <x v="39"/>
    <n v="1000"/>
    <n v="7"/>
    <n v="4"/>
    <n v="63"/>
    <n v="63"/>
  </r>
  <r>
    <x v="48"/>
    <m/>
    <s v="Lap"/>
    <x v="0"/>
    <n v="4"/>
    <x v="40"/>
    <n v="700"/>
    <m/>
    <n v="19"/>
    <n v="95"/>
    <n v="95"/>
  </r>
  <r>
    <x v="49"/>
    <m/>
    <s v="Non Lap"/>
    <x v="0"/>
    <n v="4"/>
    <x v="41"/>
    <n v="1250"/>
    <n v="10"/>
    <n v="10"/>
    <n v="103"/>
    <n v="103"/>
  </r>
  <r>
    <x v="50"/>
    <m/>
    <s v="Lap"/>
    <x v="2"/>
    <n v="6"/>
    <x v="42"/>
    <n v="1150"/>
    <m/>
    <n v="25"/>
    <n v="115"/>
    <n v="115"/>
  </r>
  <r>
    <x v="51"/>
    <m/>
    <s v="Lap"/>
    <x v="0"/>
    <n v="6"/>
    <x v="4"/>
    <n v="500"/>
    <m/>
    <n v="9"/>
    <n v="79"/>
    <n v="79"/>
  </r>
  <r>
    <x v="52"/>
    <m/>
    <s v="Non Lap"/>
    <x v="2"/>
    <n v="6"/>
    <x v="43"/>
    <n v="1000"/>
    <m/>
    <m/>
    <n v="5"/>
    <n v="5"/>
  </r>
  <r>
    <x v="53"/>
    <m/>
    <s v="Generic"/>
    <x v="0"/>
    <n v="6"/>
    <x v="2"/>
    <n v="100"/>
    <m/>
    <m/>
    <n v="20"/>
    <n v="20"/>
  </r>
  <r>
    <x v="54"/>
    <m/>
    <s v="Lap"/>
    <x v="0"/>
    <n v="3"/>
    <x v="44"/>
    <n v="1150"/>
    <m/>
    <n v="22"/>
    <n v="15"/>
    <n v="15"/>
  </r>
  <r>
    <x v="55"/>
    <m/>
    <s v="Lap"/>
    <x v="0"/>
    <n v="5"/>
    <x v="45"/>
    <n v="800"/>
    <m/>
    <m/>
    <n v="5"/>
    <n v="5"/>
  </r>
  <r>
    <x v="56"/>
    <m/>
    <s v="Non Lap"/>
    <x v="2"/>
    <n v="5"/>
    <x v="46"/>
    <n v="1250"/>
    <m/>
    <n v="28"/>
    <n v="49"/>
    <n v="49"/>
  </r>
  <r>
    <x v="57"/>
    <s v="Sphynx"/>
    <s v="Lap"/>
    <x v="3"/>
    <n v="5"/>
    <x v="13"/>
    <n v="1450"/>
    <m/>
    <n v="8"/>
    <n v="4"/>
    <n v="4"/>
  </r>
  <r>
    <x v="58"/>
    <m/>
    <s v="Generic"/>
    <x v="0"/>
    <n v="6"/>
    <x v="2"/>
    <n v="100"/>
    <m/>
    <m/>
    <n v="39"/>
    <n v="39"/>
  </r>
  <r>
    <x v="59"/>
    <m/>
    <s v="Lap"/>
    <x v="0"/>
    <n v="6"/>
    <x v="47"/>
    <n v="900"/>
    <m/>
    <m/>
    <n v="77"/>
    <n v="77"/>
  </r>
  <r>
    <x v="60"/>
    <m/>
    <s v="Lap"/>
    <x v="1"/>
    <n v="5"/>
    <x v="48"/>
    <n v="800"/>
    <m/>
    <n v="18"/>
    <n v="32"/>
    <n v="32"/>
  </r>
  <r>
    <x v="61"/>
    <m/>
    <s v="Generic"/>
    <x v="0"/>
    <n v="6"/>
    <x v="2"/>
    <n v="100"/>
    <m/>
    <m/>
    <n v="125"/>
    <n v="125"/>
  </r>
  <r>
    <x v="62"/>
    <m/>
    <s v="Generic"/>
    <x v="0"/>
    <n v="6"/>
    <x v="2"/>
    <n v="100"/>
    <m/>
    <m/>
    <n v="198"/>
    <n v="198"/>
  </r>
  <r>
    <x v="63"/>
    <m/>
    <s v="Non Lap"/>
    <x v="2"/>
    <n v="4"/>
    <x v="49"/>
    <n v="700"/>
    <m/>
    <n v="29"/>
    <n v="132"/>
    <n v="132"/>
  </r>
  <r>
    <x v="64"/>
    <m/>
    <s v="Non Lap"/>
    <x v="2"/>
    <n v="6"/>
    <x v="50"/>
    <n v="500"/>
    <m/>
    <n v="37"/>
    <n v="154"/>
    <n v="154"/>
  </r>
  <r>
    <x v="65"/>
    <m/>
    <s v="Generic"/>
    <x v="0"/>
    <n v="6"/>
    <x v="2"/>
    <n v="100"/>
    <m/>
    <m/>
    <n v="158"/>
    <n v="158"/>
  </r>
  <r>
    <x v="66"/>
    <m/>
    <m/>
    <x v="4"/>
    <m/>
    <x v="51"/>
    <m/>
    <m/>
    <m/>
    <n v="210"/>
    <n v="2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s v="Abyssinian"/>
    <m/>
    <x v="0"/>
    <s v="Short"/>
    <n v="4"/>
    <s v="Active, Energetic, Independent, Intelligent, Gentle"/>
    <n v="1050"/>
    <m/>
    <n v="7"/>
    <n v="79"/>
    <n v="79"/>
    <x v="0"/>
    <m/>
  </r>
  <r>
    <s v="American Curl"/>
    <m/>
    <x v="0"/>
    <s v="Medium"/>
    <n v="4"/>
    <s v="Affectionate, Curious, Intelligent, Interactive, Lively, Playful, Social"/>
    <n v="1400"/>
    <m/>
    <n v="26"/>
    <n v="93"/>
    <n v="93"/>
    <x v="0"/>
    <m/>
  </r>
  <r>
    <s v="American Shorthair"/>
    <m/>
    <x v="0"/>
    <s v="Short"/>
    <n v="6"/>
    <s v="Active, Curious, Easygoing, Playful, Calm"/>
    <n v="900"/>
    <n v="5"/>
    <n v="6"/>
    <n v="121"/>
    <n v="121"/>
    <x v="1"/>
    <m/>
  </r>
  <r>
    <s v="American Wirehair"/>
    <m/>
    <x v="0"/>
    <s v="Medium"/>
    <n v="6"/>
    <s v="Affectionate, Curious, Gentle, Intelligent, Interactive, Lively, Loyal, Playful, Sensible, Social"/>
    <n v="1000"/>
    <m/>
    <n v="41"/>
    <n v="11"/>
    <n v="11"/>
    <x v="0"/>
    <m/>
  </r>
  <r>
    <s v="Applehead Siamese"/>
    <m/>
    <x v="0"/>
    <s v="Short"/>
    <n v="6"/>
    <s v="Active, Agile, Clever, Sociable, Loving, Energetic"/>
    <n v="1600"/>
    <m/>
    <m/>
    <n v="15"/>
    <n v="15"/>
    <x v="1"/>
    <m/>
  </r>
  <r>
    <s v="Balinese"/>
    <m/>
    <x v="1"/>
    <s v="Long"/>
    <n v="4"/>
    <s v="Affectionate, Intelligent, Playful"/>
    <n v="1300"/>
    <m/>
    <n v="31"/>
    <n v="5"/>
    <n v="5"/>
    <x v="0"/>
    <s v="            "/>
  </r>
  <r>
    <s v="Bengal"/>
    <m/>
    <x v="1"/>
    <s v="Medium"/>
    <n v="6"/>
    <s v="Active, Agile, Lively, Affectionate, Energetic, Rambunctious"/>
    <n v="1250"/>
    <n v="8"/>
    <m/>
    <n v="10"/>
    <n v="10"/>
    <x v="1"/>
    <m/>
  </r>
  <r>
    <s v="Birman"/>
    <m/>
    <x v="0"/>
    <s v="Long"/>
    <n v="5"/>
    <s v="Affectionate, Active, Gentle, Social"/>
    <n v="850"/>
    <m/>
    <n v="15"/>
    <n v="93"/>
    <n v="93"/>
    <x v="1"/>
    <m/>
  </r>
  <r>
    <s v="Bobtail"/>
    <m/>
    <x v="0"/>
    <s v="Medium"/>
    <n v="6"/>
    <s v="Intelligent, Interactive, Lively, Playful, Sensitive"/>
    <n v="800"/>
    <m/>
    <n v="36"/>
    <n v="45"/>
    <n v="45"/>
    <x v="1"/>
    <m/>
  </r>
  <r>
    <s v="Bombay"/>
    <m/>
    <x v="0"/>
    <s v="Short"/>
    <n v="4"/>
    <s v="Affectionate, Dependent, Gentle, Intelligent, Playful"/>
    <n v="500"/>
    <m/>
    <n v="34"/>
    <n v="29"/>
    <n v="29"/>
    <x v="0"/>
    <m/>
  </r>
  <r>
    <s v="British Shorthair"/>
    <m/>
    <x v="0"/>
    <s v="Short"/>
    <n v="7"/>
    <s v="Affectionate, Easygoing, Gentle, Loyal, Patient, Calm"/>
    <n v="1750"/>
    <n v="6"/>
    <n v="5"/>
    <n v="26"/>
    <n v="26"/>
    <x v="1"/>
    <m/>
  </r>
  <r>
    <s v="Burmese"/>
    <m/>
    <x v="0"/>
    <s v="Short"/>
    <n v="5"/>
    <s v="Curious, Intelligent, Gentle, Social, Interactive, Playful, Lively"/>
    <n v="1250"/>
    <n v="4"/>
    <n v="16"/>
    <n v="77"/>
    <n v="77"/>
    <x v="1"/>
    <m/>
  </r>
  <r>
    <s v="Burmilla"/>
    <m/>
    <x v="0"/>
    <s v="Long"/>
    <n v="5"/>
    <s v="Easygoing, Friendly, Intelligent, Lively, Playful, Social"/>
    <n v="600"/>
    <m/>
    <n v="38"/>
    <n v="55"/>
    <n v="55"/>
    <x v="0"/>
    <m/>
  </r>
  <r>
    <s v="Calico"/>
    <m/>
    <x v="2"/>
    <s v="Short"/>
    <n v="6"/>
    <s v="Active, Curious, Easygoing, Playful, Calm"/>
    <n v="100"/>
    <m/>
    <m/>
    <n v="54"/>
    <n v="54"/>
    <x v="0"/>
    <m/>
  </r>
  <r>
    <s v="Canadian Hairless"/>
    <m/>
    <x v="0"/>
    <s v="Bald"/>
    <n v="5"/>
    <s v="Loyal, Inquisitive, Friendly, Quiet, Gentle"/>
    <n v="1450"/>
    <m/>
    <n v="8"/>
    <n v="35"/>
    <n v="35"/>
    <x v="0"/>
    <m/>
  </r>
  <r>
    <s v="Chartreux"/>
    <m/>
    <x v="0"/>
    <s v="Short"/>
    <n v="6"/>
    <s v="Affectionate, Loyal, Intelligent, Social, Lively, Playful"/>
    <n v="1250"/>
    <m/>
    <n v="27"/>
    <n v="47"/>
    <n v="47"/>
    <x v="0"/>
    <m/>
  </r>
  <r>
    <s v="Chausie"/>
    <m/>
    <x v="1"/>
    <s v="Short"/>
    <n v="5"/>
    <s v="Affectionate, Intelligent, Playful, Social"/>
    <n v="1500"/>
    <m/>
    <m/>
    <n v="84"/>
    <n v="84"/>
    <x v="1"/>
    <m/>
  </r>
  <r>
    <s v="Chinchilla"/>
    <m/>
    <x v="3"/>
    <s v="Short"/>
    <n v="1"/>
    <s v="Active, Playful"/>
    <n v="200"/>
    <m/>
    <m/>
    <n v="93"/>
    <n v="93"/>
    <x v="1"/>
    <m/>
  </r>
  <r>
    <s v="Cornish Rex"/>
    <m/>
    <x v="0"/>
    <s v="Short"/>
    <n v="3"/>
    <s v="Affectionate, Intelligent, Active, Curious, Playful"/>
    <n v="1000"/>
    <m/>
    <n v="11"/>
    <n v="101"/>
    <n v="101"/>
    <x v="0"/>
    <m/>
  </r>
  <r>
    <s v="Cymric"/>
    <m/>
    <x v="0"/>
    <s v="Long"/>
    <n v="5"/>
    <s v="Gentle, Loyal, Intelligent, Playful"/>
    <n v="400"/>
    <m/>
    <m/>
    <n v="125"/>
    <n v="125"/>
    <x v="1"/>
    <m/>
  </r>
  <r>
    <s v="Devon Rex"/>
    <m/>
    <x v="0"/>
    <s v="Short"/>
    <n v="3"/>
    <s v="Intelligent, Active, Mischevious, Playful"/>
    <n v="800"/>
    <m/>
    <n v="12"/>
    <n v="115"/>
    <n v="115"/>
    <x v="0"/>
    <m/>
  </r>
  <r>
    <s v="Dilute Calico"/>
    <m/>
    <x v="2"/>
    <s v="Short"/>
    <n v="6"/>
    <s v="Active, Curious, Easygoing, Playful, Calm"/>
    <n v="100"/>
    <m/>
    <m/>
    <n v="154"/>
    <n v="154"/>
    <x v="0"/>
    <m/>
  </r>
  <r>
    <s v="Dilute Tortoiseshell"/>
    <m/>
    <x v="2"/>
    <s v="Short"/>
    <n v="6"/>
    <s v="Active, Curious, Easygoing, Playful, Calm"/>
    <n v="100"/>
    <m/>
    <m/>
    <n v="198"/>
    <n v="198"/>
    <x v="0"/>
    <m/>
  </r>
  <r>
    <s v="Domestic Long Hair"/>
    <m/>
    <x v="2"/>
    <s v="Long"/>
    <n v="6"/>
    <s v="Active, Curious, Easygoing, Playful, Calm"/>
    <n v="100"/>
    <m/>
    <m/>
    <n v="76"/>
    <n v="76"/>
    <x v="0"/>
    <m/>
  </r>
  <r>
    <s v="Domestic Medium Hair"/>
    <m/>
    <x v="2"/>
    <s v="Medium"/>
    <n v="6"/>
    <s v="Active, Curious, Easygoing, Playful, Calm"/>
    <n v="100"/>
    <m/>
    <m/>
    <n v="95"/>
    <n v="95"/>
    <x v="0"/>
    <m/>
  </r>
  <r>
    <s v="Domestic Short Hair"/>
    <m/>
    <x v="2"/>
    <s v="Short"/>
    <n v="6"/>
    <s v="Active, Curious, Easygoing, Playful, Calm"/>
    <n v="100"/>
    <m/>
    <m/>
    <n v="39"/>
    <n v="39"/>
    <x v="0"/>
    <m/>
  </r>
  <r>
    <s v="Egyptian Mau"/>
    <m/>
    <x v="0"/>
    <s v="Medium"/>
    <n v="5"/>
    <s v="Agile, Dependent, Gentle, Intelligent, Lively, Loyal, Playful"/>
    <n v="800"/>
    <m/>
    <n v="20"/>
    <n v="45"/>
    <n v="45"/>
    <x v="0"/>
    <m/>
  </r>
  <r>
    <s v="Exotic Shorthair"/>
    <m/>
    <x v="0"/>
    <s v="Short"/>
    <n v="5"/>
    <s v="Affectionate, Sweet, Loyal, Quiet, Peaceful"/>
    <n v="1750"/>
    <n v="2"/>
    <n v="1"/>
    <n v="54"/>
    <n v="54"/>
    <x v="0"/>
    <m/>
  </r>
  <r>
    <s v="Extra-Toes Cat (Hemingway Polydactyl)"/>
    <m/>
    <x v="0"/>
    <s v="Medium"/>
    <n v="5"/>
    <s v="Six-Toed"/>
    <n v="2000"/>
    <m/>
    <m/>
    <n v="67"/>
    <n v="67"/>
    <x v="1"/>
    <m/>
  </r>
  <r>
    <s v="Havana"/>
    <m/>
    <x v="0"/>
    <s v="Medium"/>
    <n v="4"/>
    <s v="Affectionate, Curious, Demanding, Friendly, Intelligent, Playful"/>
    <n v="900"/>
    <m/>
    <n v="35"/>
    <n v="71"/>
    <n v="71"/>
    <x v="0"/>
    <m/>
  </r>
  <r>
    <s v="Himalayan"/>
    <m/>
    <x v="0"/>
    <s v="Long"/>
    <n v="6"/>
    <s v="Dependent, Gentle, Intelligent, Quiet, Social"/>
    <n v="800"/>
    <m/>
    <m/>
    <n v="72"/>
    <n v="72"/>
    <x v="1"/>
    <m/>
  </r>
  <r>
    <s v="Japanese Bobtail"/>
    <m/>
    <x v="0"/>
    <s v="Long"/>
    <n v="4"/>
    <s v="Active, Agile, Clever, Easygoing, Intelligent, Lively, Loyal, Playful, Social"/>
    <n v="800"/>
    <m/>
    <n v="24"/>
    <n v="43"/>
    <n v="43"/>
    <x v="0"/>
    <m/>
  </r>
  <r>
    <s v="Javanese"/>
    <m/>
    <x v="1"/>
    <s v="Medium"/>
    <n v="4"/>
    <s v="Active, Devoted, Intelligent, Playful"/>
    <n v="1200"/>
    <m/>
    <m/>
    <n v="57"/>
    <n v="57"/>
    <x v="0"/>
    <m/>
  </r>
  <r>
    <s v="Korat"/>
    <m/>
    <x v="0"/>
    <s v="Long"/>
    <n v="4"/>
    <s v="Affectionate, Friendly, Gentle, Intelligent, Playful, Quiet"/>
    <n v="600"/>
    <m/>
    <n v="40"/>
    <n v="78"/>
    <n v="78"/>
    <x v="0"/>
    <m/>
  </r>
  <r>
    <s v="LaPerm"/>
    <m/>
    <x v="0"/>
    <s v="Long"/>
    <n v="4"/>
    <s v="Intelligent, Clever, Active, Genlte"/>
    <n v="500"/>
    <m/>
    <n v="39"/>
    <n v="89"/>
    <n v="89"/>
    <x v="1"/>
    <m/>
  </r>
  <r>
    <s v="Maine Coon"/>
    <m/>
    <x v="0"/>
    <s v="Long"/>
    <n v="7"/>
    <s v="Adaptable, Intelligent, Loving, Gentle, Independent"/>
    <n v="1600"/>
    <n v="1"/>
    <n v="3"/>
    <n v="99"/>
    <n v="99"/>
    <x v="0"/>
    <m/>
  </r>
  <r>
    <s v="Manx"/>
    <m/>
    <x v="0"/>
    <s v="Short"/>
    <n v="5"/>
    <s v="Easygoing, Intelligent, Loyal, Playful, Social"/>
    <n v="500"/>
    <m/>
    <n v="23"/>
    <n v="110"/>
    <n v="110"/>
    <x v="0"/>
    <m/>
  </r>
  <r>
    <s v="Munchkin"/>
    <m/>
    <x v="0"/>
    <s v="Medium"/>
    <n v="3"/>
    <s v="Agile, Easygoing, Intelligent, Playful"/>
    <n v="1500"/>
    <m/>
    <m/>
    <n v="155"/>
    <n v="155"/>
    <x v="0"/>
    <m/>
  </r>
  <r>
    <s v="Nebelung"/>
    <m/>
    <x v="0"/>
    <s v="Long"/>
    <n v="4"/>
    <s v="Gentle, Quiet, Shy, Playful"/>
    <n v="500"/>
    <m/>
    <m/>
    <n v="45"/>
    <n v="45"/>
    <x v="0"/>
    <m/>
  </r>
  <r>
    <s v="Norwegian Forest Cat"/>
    <m/>
    <x v="1"/>
    <s v="Long"/>
    <n v="6"/>
    <s v="Sweet, Active, Intelligent, Social, Playful, Lively, Curious"/>
    <n v="1000"/>
    <n v="9"/>
    <n v="14"/>
    <n v="59"/>
    <n v="59"/>
    <x v="0"/>
    <m/>
  </r>
  <r>
    <s v="Ocicat"/>
    <m/>
    <x v="1"/>
    <s v="Short"/>
    <n v="6"/>
    <s v="Active, Agile, Curious, Demanding, Friendly, Gentle, Lively, Playful, Social"/>
    <n v="850"/>
    <m/>
    <n v="21"/>
    <n v="55"/>
    <n v="55"/>
    <x v="0"/>
    <m/>
  </r>
  <r>
    <s v="Oriental Long Hair"/>
    <m/>
    <x v="0"/>
    <s v="Long"/>
    <n v="4"/>
    <s v="Energetic, Affectionate, Intelligent, Social, Playful, Curious"/>
    <n v="1150"/>
    <m/>
    <n v="13"/>
    <n v="23"/>
    <n v="23"/>
    <x v="0"/>
    <m/>
  </r>
  <r>
    <s v="Oriental Short Hair"/>
    <m/>
    <x v="0"/>
    <s v="Short"/>
    <n v="4"/>
    <s v="Energetic, Affectionate, Intelligent, Social, Playful, Curious"/>
    <n v="1150"/>
    <m/>
    <n v="13"/>
    <n v="45"/>
    <n v="45"/>
    <x v="1"/>
    <m/>
  </r>
  <r>
    <s v="Oriental Tabby"/>
    <m/>
    <x v="0"/>
    <s v="Medium"/>
    <n v="4"/>
    <s v="Energetic, Affectionate, Intelligent, Social, Playful, Curious"/>
    <n v="1150"/>
    <m/>
    <n v="13"/>
    <n v="101"/>
    <n v="101"/>
    <x v="1"/>
    <m/>
  </r>
  <r>
    <s v="Persian"/>
    <m/>
    <x v="0"/>
    <s v="Long"/>
    <n v="6"/>
    <s v="Affectionate, Loyal, Sedate, Quiet"/>
    <n v="1250"/>
    <n v="3"/>
    <n v="2"/>
    <n v="115"/>
    <n v="115"/>
    <x v="1"/>
    <m/>
  </r>
  <r>
    <s v="Pixie-Bob"/>
    <m/>
    <x v="0"/>
    <s v="Medium"/>
    <n v="6"/>
    <s v="Affectionate, Social, Intelligent, Loyal"/>
    <n v="700"/>
    <m/>
    <m/>
    <n v="309"/>
    <n v="309"/>
    <x v="1"/>
    <m/>
  </r>
  <r>
    <s v="Ragamuffin"/>
    <m/>
    <x v="0"/>
    <s v="Medium"/>
    <n v="7"/>
    <s v="Affectionate, Friendly, Gentle, Calm"/>
    <n v="1000"/>
    <m/>
    <n v="32"/>
    <n v="77"/>
    <n v="77"/>
    <x v="1"/>
    <m/>
  </r>
  <r>
    <s v="Ragdoll"/>
    <m/>
    <x v="0"/>
    <s v="Long"/>
    <n v="7"/>
    <s v="Affectioante, Friendly, Gentle, Quiet, Easygoing"/>
    <n v="1000"/>
    <n v="7"/>
    <n v="4"/>
    <n v="63"/>
    <n v="63"/>
    <x v="1"/>
    <m/>
  </r>
  <r>
    <s v="Russian Blue"/>
    <m/>
    <x v="0"/>
    <s v="Short"/>
    <n v="4"/>
    <s v="Active, Dependent, Easygoing, Gentle, Intelligent, Loyal, Playful, Quiet"/>
    <n v="700"/>
    <m/>
    <n v="19"/>
    <n v="95"/>
    <n v="95"/>
    <x v="0"/>
    <m/>
  </r>
  <r>
    <s v="Scottish Fold"/>
    <m/>
    <x v="1"/>
    <s v="Short"/>
    <n v="4"/>
    <s v="Affectionate, Intelligent, Loyal, Playful, Social, Sweet, Loving"/>
    <n v="1250"/>
    <n v="10"/>
    <n v="10"/>
    <n v="103"/>
    <n v="103"/>
    <x v="0"/>
    <m/>
  </r>
  <r>
    <s v="Selkirk Rex"/>
    <m/>
    <x v="0"/>
    <s v="Long"/>
    <n v="6"/>
    <s v="Active, Affectionate, Dependent, Gentle, Patient, Playful, Quiet, Social"/>
    <n v="1150"/>
    <m/>
    <n v="25"/>
    <n v="115"/>
    <n v="115"/>
    <x v="1"/>
    <m/>
  </r>
  <r>
    <s v="Siamese"/>
    <m/>
    <x v="0"/>
    <s v="Short"/>
    <n v="6"/>
    <s v="Active, Agile, Clever, Sociable, Loving, Energetic"/>
    <n v="500"/>
    <m/>
    <n v="9"/>
    <n v="79"/>
    <n v="79"/>
    <x v="1"/>
    <m/>
  </r>
  <r>
    <s v="Siberian"/>
    <m/>
    <x v="1"/>
    <s v="Long"/>
    <n v="6"/>
    <s v="Intelligent, Loyal, Quiet, Active"/>
    <n v="1000"/>
    <m/>
    <m/>
    <n v="5"/>
    <n v="5"/>
    <x v="0"/>
    <m/>
  </r>
  <r>
    <s v="Silver"/>
    <m/>
    <x v="2"/>
    <s v="Short"/>
    <n v="6"/>
    <s v="Active, Curious, Easygoing, Playful, Calm"/>
    <n v="100"/>
    <m/>
    <m/>
    <n v="20"/>
    <n v="20"/>
    <x v="0"/>
    <m/>
  </r>
  <r>
    <s v="Singapura"/>
    <m/>
    <x v="0"/>
    <s v="Short"/>
    <n v="3"/>
    <s v="Affectionate, Curious, Easygoing, Intelligent, Interactive, Lively, Loyal"/>
    <n v="1150"/>
    <m/>
    <n v="22"/>
    <n v="15"/>
    <n v="15"/>
    <x v="0"/>
    <m/>
  </r>
  <r>
    <s v="Snowshoe"/>
    <m/>
    <x v="0"/>
    <s v="Short"/>
    <n v="5"/>
    <s v="Affectionate, Social, Intelligent, Sweet-tempered"/>
    <n v="800"/>
    <m/>
    <m/>
    <n v="5"/>
    <n v="5"/>
    <x v="1"/>
    <m/>
  </r>
  <r>
    <s v="Somali"/>
    <m/>
    <x v="1"/>
    <s v="Long"/>
    <n v="5"/>
    <s v="Mischevious, Tenacious, Intelligent, Affectionate, Gentle, Interactive, Loyal"/>
    <n v="1250"/>
    <m/>
    <n v="28"/>
    <n v="49"/>
    <n v="49"/>
    <x v="1"/>
    <m/>
  </r>
  <r>
    <s v="Sphynx (hairless cat)"/>
    <s v="Sphynx"/>
    <x v="0"/>
    <s v="Bald"/>
    <n v="5"/>
    <s v="Loyal, Inquisitive, Friendly, Quiet, Gentle"/>
    <n v="1450"/>
    <m/>
    <n v="8"/>
    <n v="4"/>
    <n v="4"/>
    <x v="1"/>
    <m/>
  </r>
  <r>
    <s v="Tabby"/>
    <m/>
    <x v="2"/>
    <s v="Short"/>
    <n v="6"/>
    <s v="Active, Curious, Easygoing, Playful, Calm"/>
    <n v="100"/>
    <m/>
    <m/>
    <n v="39"/>
    <n v="39"/>
    <x v="0"/>
    <m/>
  </r>
  <r>
    <s v="Tiger"/>
    <m/>
    <x v="0"/>
    <s v="Short"/>
    <n v="6"/>
    <s v="Playful, Social, Intelligent"/>
    <n v="900"/>
    <m/>
    <m/>
    <n v="77"/>
    <n v="77"/>
    <x v="0"/>
    <m/>
  </r>
  <r>
    <s v="Tonkinese"/>
    <m/>
    <x v="0"/>
    <s v="Medium"/>
    <n v="5"/>
    <s v="Curious, Intelligent, Social, Lively, Outgoing, Playful, Affectionate"/>
    <n v="800"/>
    <m/>
    <n v="18"/>
    <n v="32"/>
    <n v="32"/>
    <x v="0"/>
    <m/>
  </r>
  <r>
    <s v="Torbie"/>
    <m/>
    <x v="2"/>
    <s v="Short"/>
    <n v="6"/>
    <s v="Active, Curious, Easygoing, Playful, Calm"/>
    <n v="100"/>
    <m/>
    <m/>
    <n v="125"/>
    <n v="125"/>
    <x v="1"/>
    <m/>
  </r>
  <r>
    <s v="Tortoiseshell"/>
    <m/>
    <x v="2"/>
    <s v="Short"/>
    <n v="6"/>
    <s v="Active, Curious, Easygoing, Playful, Calm"/>
    <n v="100"/>
    <m/>
    <m/>
    <n v="198"/>
    <n v="198"/>
    <x v="0"/>
    <m/>
  </r>
  <r>
    <s v="Turkish Angora"/>
    <m/>
    <x v="1"/>
    <s v="Long"/>
    <n v="4"/>
    <s v="Affectionate, Agile, Clever, Gentle, Intelligent, Playful, Social"/>
    <n v="700"/>
    <m/>
    <n v="29"/>
    <n v="132"/>
    <n v="132"/>
    <x v="0"/>
    <m/>
  </r>
  <r>
    <s v="Turkish Van"/>
    <m/>
    <x v="1"/>
    <s v="Long"/>
    <n v="6"/>
    <s v="Agile, Intelligent, Loyal, Playful, Energetic"/>
    <n v="500"/>
    <m/>
    <n v="37"/>
    <n v="154"/>
    <n v="154"/>
    <x v="1"/>
    <m/>
  </r>
  <r>
    <s v="Tuxedo"/>
    <m/>
    <x v="2"/>
    <s v="Short"/>
    <n v="6"/>
    <s v="Active, Curious, Easygoing, Playful, Calm"/>
    <n v="100"/>
    <m/>
    <m/>
    <n v="158"/>
    <n v="158"/>
    <x v="0"/>
    <m/>
  </r>
  <r>
    <s v="Mixed Breed"/>
    <m/>
    <x v="4"/>
    <m/>
    <m/>
    <m/>
    <m/>
    <m/>
    <m/>
    <n v="210"/>
    <n v="210"/>
    <x v="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Affenpinscher"/>
    <m/>
    <s v="Toy"/>
    <x v="0"/>
    <n v="4"/>
    <s v="Active, Adventurous, Curious, Fun-loving, Playful, Stubborn"/>
    <n v="1000"/>
    <n v="37"/>
    <n v="1"/>
    <m/>
    <m/>
    <m/>
    <n v="147"/>
    <n v="300"/>
    <n v="300"/>
  </r>
  <r>
    <s v="Afghan Hound"/>
    <m/>
    <s v="Sporting"/>
    <x v="1"/>
    <n v="28"/>
    <s v="Aloof, Clownish, Dignified, Happy, Independent"/>
    <n v="2250"/>
    <n v="79"/>
    <n v="1"/>
    <m/>
    <m/>
    <m/>
    <n v="93"/>
    <n v="250"/>
    <n v="250"/>
  </r>
  <r>
    <s v="African Hunting Dog"/>
    <m/>
    <m/>
    <x v="2"/>
    <n v="23"/>
    <s v="Wild"/>
    <m/>
    <m/>
    <m/>
    <m/>
    <m/>
    <m/>
    <m/>
    <n v="500"/>
    <n v="500"/>
  </r>
  <r>
    <s v="Airedale Terrier"/>
    <s v="Airedale"/>
    <s v="Terrier"/>
    <x v="3"/>
    <n v="26"/>
    <s v="Alert, Confident, Courageous, Friendly, Intelligent, Outgoing"/>
    <n v="700"/>
    <n v="29"/>
    <n v="4"/>
    <m/>
    <m/>
    <m/>
    <n v="55"/>
    <n v="670"/>
    <n v="670"/>
  </r>
  <r>
    <s v="Akbash"/>
    <m/>
    <s v="Working"/>
    <x v="4"/>
    <n v="53"/>
    <s v="Affectionate, Alert, Courageous, Independent, Intelligent, Loyal"/>
    <n v="600"/>
    <m/>
    <n v="5"/>
    <m/>
    <m/>
    <m/>
    <m/>
    <n v="293"/>
    <n v="293"/>
  </r>
  <r>
    <s v="Akita"/>
    <m/>
    <s v="Working"/>
    <x v="5"/>
    <n v="44"/>
    <s v="Alert, Courageous, Dignified, Docile, Friendly, Intelligent, Responsive"/>
    <n v="1000"/>
    <n v="54"/>
    <n v="5"/>
    <m/>
    <n v="1"/>
    <m/>
    <n v="47"/>
    <n v="457"/>
    <n v="457"/>
  </r>
  <r>
    <s v="Alaskan Malamute"/>
    <s v="Malamute"/>
    <s v="Working"/>
    <x v="6"/>
    <n v="40"/>
    <s v="Affectionate, Devoted, Dignified, Friendly, Loyal, Playful"/>
    <n v="1350"/>
    <n v="50"/>
    <n v="5"/>
    <m/>
    <m/>
    <m/>
    <n v="59"/>
    <n v="890"/>
    <n v="890"/>
  </r>
  <r>
    <s v="American Bulldog"/>
    <m/>
    <s v="Working"/>
    <x v="4"/>
    <n v="38"/>
    <s v="Affectionate, Alert, Courageous, Energetic, Gentle, Loving, Out-going, Social"/>
    <n v="800"/>
    <m/>
    <n v="6"/>
    <m/>
    <n v="1"/>
    <m/>
    <m/>
    <n v="91"/>
    <n v="91"/>
  </r>
  <r>
    <s v="American Eskimo Dog"/>
    <m/>
    <s v="Non Sporting"/>
    <x v="6"/>
    <n v="8"/>
    <s v="Alert, Energetic, Friendly, Independent, Intelligent, Protective"/>
    <n v="700"/>
    <m/>
    <n v="4"/>
    <m/>
    <m/>
    <m/>
    <n v="118"/>
    <n v="25"/>
    <n v="25"/>
  </r>
  <r>
    <s v="American Hairless Terrier"/>
    <m/>
    <s v="Terrier"/>
    <x v="3"/>
    <n v="5"/>
    <s v="Alert, Lively, Loving, Intelligent, Inquisitive, Playful"/>
    <n v="400"/>
    <m/>
    <n v="3"/>
    <m/>
    <m/>
    <m/>
    <n v="126"/>
    <n v="76"/>
    <n v="76"/>
  </r>
  <r>
    <s v="American Staffordshire Terrier"/>
    <m/>
    <s v="Terrier"/>
    <x v="3"/>
    <n v="28"/>
    <s v="Attentive, Courageous, Devoted, Friendly, Loyal, Tenacious, Intelligent"/>
    <n v="900"/>
    <n v="34"/>
    <n v="3"/>
    <m/>
    <n v="1"/>
    <m/>
    <n v="83"/>
    <n v="94"/>
    <n v="94"/>
  </r>
  <r>
    <s v="American Water Spaniel"/>
    <m/>
    <s v="Sporting"/>
    <x v="7"/>
    <n v="16"/>
    <s v="Energetic, Friendly, Intelligent, Obedient, Protective, Trainable"/>
    <n v="900"/>
    <n v="44"/>
    <n v="4"/>
    <m/>
    <m/>
    <m/>
    <n v="167"/>
    <n v="56"/>
    <n v="56"/>
  </r>
  <r>
    <s v="Anatolian Shepherd"/>
    <m/>
    <s v="Working"/>
    <x v="4"/>
    <n v="52"/>
    <s v="Bold, Confident, Independent, Intelligent, Proud, Steady"/>
    <n v="800"/>
    <m/>
    <n v="6"/>
    <m/>
    <m/>
    <m/>
    <n v="86"/>
    <n v="780"/>
    <n v="780"/>
  </r>
  <r>
    <s v="Appenzell Mountain Dog"/>
    <s v="Appenzeller"/>
    <s v="Working"/>
    <x v="4"/>
    <n v="27"/>
    <s v="Energetic, Fearless, Lively, Reliable, Self-assured, Social"/>
    <n v="700"/>
    <m/>
    <n v="5"/>
    <m/>
    <m/>
    <m/>
    <m/>
    <n v="909"/>
    <n v="909"/>
  </r>
  <r>
    <s v="Australian Cattle Dog/Blue Heeler"/>
    <m/>
    <s v="Herding"/>
    <x v="5"/>
    <n v="21"/>
    <s v="Aggressive, Alert, Energetic, Intelligent, Loyal, Protective, Responsive"/>
    <n v="600"/>
    <n v="10"/>
    <n v="6"/>
    <m/>
    <m/>
    <m/>
    <n v="56"/>
    <n v="101"/>
    <n v="101"/>
  </r>
  <r>
    <s v="Australian Kelpie"/>
    <s v="Kelpie"/>
    <s v="Working"/>
    <x v="5"/>
    <n v="16"/>
    <s v="Alert, Eager, Energetic, Friendly, Intelligent, Loyal, Robust"/>
    <n v="600"/>
    <m/>
    <n v="5"/>
    <m/>
    <m/>
    <m/>
    <m/>
    <n v="102"/>
    <n v="102"/>
  </r>
  <r>
    <s v="Australian Shepherd"/>
    <m/>
    <s v="Terrier"/>
    <x v="3"/>
    <n v="27"/>
    <s v="Active, Affectionate, Friendly, Good-natured, Intelligent, Protective, Loving"/>
    <n v="700"/>
    <n v="42"/>
    <n v="5"/>
    <m/>
    <m/>
    <m/>
    <n v="17"/>
    <n v="39"/>
    <n v="39"/>
  </r>
  <r>
    <s v="Australian Terrier"/>
    <m/>
    <s v="Terrier"/>
    <x v="3"/>
    <n v="5"/>
    <s v="Alert, Compassionate, Courageous, Even Tempered, Loyal, Spirited, Intelligent"/>
    <n v="1250"/>
    <n v="34"/>
    <n v="3"/>
    <m/>
    <m/>
    <m/>
    <n v="137"/>
    <n v="55"/>
    <n v="55"/>
  </r>
  <r>
    <s v="Basenji"/>
    <m/>
    <s v="Hound"/>
    <x v="1"/>
    <n v="11"/>
    <s v="Affectionate, Alert, Curious, Energetic, Playful, Intelligent"/>
    <n v="1100"/>
    <n v="78"/>
    <n v="5"/>
    <m/>
    <m/>
    <m/>
    <n v="84"/>
    <n v="49"/>
    <n v="49"/>
  </r>
  <r>
    <s v="Basset Hound"/>
    <s v="Basset"/>
    <s v="Hound"/>
    <x v="8"/>
    <n v="26"/>
    <s v="Affectionate, Devoted, Friendly, Gentle, Sweet-tempered, Tenacious"/>
    <n v="400"/>
    <n v="71"/>
    <n v="1"/>
    <m/>
    <m/>
    <m/>
    <n v="39"/>
    <n v="76"/>
    <n v="76"/>
  </r>
  <r>
    <s v="Beagle"/>
    <m/>
    <s v="Hound"/>
    <x v="8"/>
    <n v="11"/>
    <s v="Friendly, Gentle, Independent, Intelligent, Lively, Loving, Sweet"/>
    <n v="650"/>
    <n v="72"/>
    <n v="1"/>
    <m/>
    <m/>
    <m/>
    <n v="6"/>
    <n v="34"/>
    <n v="34"/>
  </r>
  <r>
    <s v="Bearded Collie"/>
    <m/>
    <s v="Herding"/>
    <x v="5"/>
    <n v="23"/>
    <s v="Active, Alert, Hardy, Intelligent, Lively, Self-confident"/>
    <n v="1300"/>
    <n v="34"/>
    <n v="4"/>
    <m/>
    <m/>
    <m/>
    <n v="125"/>
    <n v="50"/>
    <n v="50"/>
  </r>
  <r>
    <s v="Beauceron"/>
    <m/>
    <s v="Herding"/>
    <x v="5"/>
    <n v="50"/>
    <s v="Courageous, Obedient, Loyal, Protective, Loving"/>
    <n v="1350"/>
    <m/>
    <n v="5"/>
    <m/>
    <m/>
    <m/>
    <n v="141"/>
    <n v="23"/>
    <n v="23"/>
  </r>
  <r>
    <s v="Bedlington Terrier"/>
    <m/>
    <s v="Terrier"/>
    <x v="3"/>
    <n v="9"/>
    <s v="Affectionate, Devoted, Energetic, Loyal, Playful, Reliable, Intelligent"/>
    <n v="1900"/>
    <n v="40"/>
    <n v="3"/>
    <m/>
    <m/>
    <m/>
    <n v="151"/>
    <n v="45"/>
    <n v="45"/>
  </r>
  <r>
    <s v="Belgian Shepherd Dog Sheepdog"/>
    <s v="Groenendael"/>
    <s v="Herding"/>
    <x v="5"/>
    <n v="32"/>
    <s v="Active, Alert, Confident, Friendly, Hard-working, Protective, Stubborn, Watchful, Intelligent"/>
    <n v="1300"/>
    <n v="15"/>
    <n v="6"/>
    <m/>
    <m/>
    <m/>
    <n v="120"/>
    <n v="33"/>
    <n v="33"/>
  </r>
  <r>
    <s v="Belgian Shepherd Laekenois"/>
    <m/>
    <s v="Herding"/>
    <x v="5"/>
    <n v="28"/>
    <s v="Active, Alert, Energetic, Lively, Protective, Watchful"/>
    <n v="650"/>
    <m/>
    <n v="5"/>
    <m/>
    <m/>
    <m/>
    <m/>
    <n v="53"/>
    <n v="53"/>
  </r>
  <r>
    <s v="Belgian Shepherd Malinois"/>
    <s v="Malinois"/>
    <s v="Herding"/>
    <x v="5"/>
    <n v="27"/>
    <s v="Active, Alert, Confident, Friendly, Hard-working, Protective, Stubborn, Watchful"/>
    <n v="700"/>
    <m/>
    <n v="6"/>
    <m/>
    <m/>
    <m/>
    <n v="44"/>
    <n v="87"/>
    <n v="87"/>
  </r>
  <r>
    <s v="Belgian Shepherd Tervuren"/>
    <m/>
    <s v="Herding"/>
    <x v="5"/>
    <n v="34"/>
    <s v="Alert, Attentive, Energetic, Intelligent, Loyal, Protective"/>
    <n v="1350"/>
    <n v="14"/>
    <n v="6"/>
    <m/>
    <m/>
    <m/>
    <n v="103"/>
    <n v="67"/>
    <n v="67"/>
  </r>
  <r>
    <s v="Bernese Mountain Dog"/>
    <m/>
    <s v="Working"/>
    <x v="4"/>
    <n v="44"/>
    <s v="Affectionate, Faithful, Intelligent, Loyal"/>
    <n v="900"/>
    <n v="22"/>
    <n v="5"/>
    <m/>
    <m/>
    <m/>
    <n v="25"/>
    <n v="98"/>
    <n v="98"/>
  </r>
  <r>
    <s v="Bichon Frise"/>
    <m/>
    <s v="Non Sporting"/>
    <x v="0"/>
    <n v="4"/>
    <s v="Affectionate, Cheerful, Feisty, Gentle, Playful, Intelligent, Sensitive"/>
    <n v="850"/>
    <n v="45"/>
    <n v="3"/>
    <m/>
    <m/>
    <m/>
    <n v="46"/>
    <n v="104"/>
    <n v="104"/>
  </r>
  <r>
    <s v="Black and Tan Coonhound"/>
    <m/>
    <s v="Hound"/>
    <x v="8"/>
    <n v="55"/>
    <s v="Adaptable, Easygoing, Even-tempered, Gentle, Lovable, Trusting, Intelligent"/>
    <n v="350"/>
    <n v="44"/>
    <n v="3"/>
    <m/>
    <m/>
    <m/>
    <n v="130"/>
    <n v="542"/>
    <n v="542"/>
  </r>
  <r>
    <s v="Black Labrador Retriever"/>
    <m/>
    <s v="Sporting"/>
    <x v="7"/>
    <n v="32"/>
    <s v="Affectionate, Alert, Cheerful, Energetic, Friendly, Gentle, Intelligent, Loving, Loyal, Outgoing, Playful, Responsive, Social"/>
    <n v="1500"/>
    <n v="7"/>
    <n v="3"/>
    <m/>
    <m/>
    <m/>
    <n v="1"/>
    <n v="123"/>
    <n v="123"/>
  </r>
  <r>
    <s v="Black Mouth Cur"/>
    <m/>
    <s v="Hound"/>
    <x v="8"/>
    <n v="32"/>
    <s v="Active, Fearless, Kind, Loyal, Protective, Trainable"/>
    <n v="400"/>
    <m/>
    <n v="3"/>
    <m/>
    <m/>
    <m/>
    <m/>
    <n v="105"/>
    <n v="105"/>
  </r>
  <r>
    <s v="Black Russian Terrier"/>
    <m/>
    <s v="Working"/>
    <x v="4"/>
    <n v="51"/>
    <s v="Brave, Confident, Energetic, Hardy, Lively, Stable"/>
    <n v="2150"/>
    <m/>
    <n v="6"/>
    <m/>
    <m/>
    <m/>
    <n v="116"/>
    <n v="107"/>
    <n v="107"/>
  </r>
  <r>
    <s v="Bloodhound"/>
    <m/>
    <s v="Hound"/>
    <x v="8"/>
    <n v="46"/>
    <s v="Affectionate, Even-tempered, Gentle, Stubborn, Independent"/>
    <n v="1000"/>
    <n v="74"/>
    <n v="1"/>
    <m/>
    <m/>
    <m/>
    <n v="50"/>
    <n v="891"/>
    <n v="891"/>
  </r>
  <r>
    <s v="Blue Lacy"/>
    <m/>
    <s v="Sporting"/>
    <x v="7"/>
    <n v="18"/>
    <s v="Active, Alert, Bold, Devoted, Intelligent, Intense"/>
    <n v="700"/>
    <m/>
    <n v="4"/>
    <m/>
    <m/>
    <m/>
    <m/>
    <n v="397"/>
    <n v="397"/>
  </r>
  <r>
    <s v="Bluetick Coonhound"/>
    <s v="Bluetick"/>
    <s v="Hound"/>
    <x v="8"/>
    <n v="28"/>
    <s v="Friendly, Active, Gentle"/>
    <n v="550"/>
    <m/>
    <n v="1"/>
    <m/>
    <m/>
    <m/>
    <n v="132"/>
    <n v="675"/>
    <n v="675"/>
  </r>
  <r>
    <s v="Boerboel"/>
    <m/>
    <s v="Working"/>
    <x v="4"/>
    <n v="80"/>
    <s v="Confident, Dominant, Intelligent, Obedient, Territorial"/>
    <n v="1750"/>
    <m/>
    <n v="6"/>
    <m/>
    <m/>
    <m/>
    <n v="124"/>
    <n v="393"/>
    <n v="393"/>
  </r>
  <r>
    <s v="Bolognese"/>
    <m/>
    <s v="Working"/>
    <x v="0"/>
    <n v="3"/>
    <s v="Docile, Enterprising, Loyal, Reserved, Serious"/>
    <n v="1350"/>
    <m/>
    <n v="2"/>
    <m/>
    <m/>
    <m/>
    <m/>
    <n v="215"/>
    <n v="215"/>
  </r>
  <r>
    <s v="Border Collie"/>
    <m/>
    <s v="Herding"/>
    <x v="5"/>
    <n v="17"/>
    <s v="Intelligent, Energetic, Alert, Responsive, Tenacious, Loyal, Protective"/>
    <n v="700"/>
    <n v="1"/>
    <n v="6"/>
    <m/>
    <m/>
    <m/>
    <n v="38"/>
    <n v="107"/>
    <n v="107"/>
  </r>
  <r>
    <s v="Border Terrier"/>
    <m/>
    <s v="Terrier"/>
    <x v="3"/>
    <n v="7"/>
    <s v="Affectionate, Alert, Even-tempered, Fearless, Intelligent, Obedient"/>
    <n v="1300"/>
    <n v="30"/>
    <n v="4"/>
    <m/>
    <m/>
    <m/>
    <n v="92"/>
    <n v="110"/>
    <n v="110"/>
  </r>
  <r>
    <s v="Borzoi"/>
    <m/>
    <s v="Hound"/>
    <x v="1"/>
    <n v="41"/>
    <s v="Athletic, Gentle, Independent, Intelligent, Quiet, Respectful"/>
    <n v="1100"/>
    <n v="75"/>
    <n v="1"/>
    <m/>
    <m/>
    <m/>
    <n v="102"/>
    <n v="25"/>
    <n v="25"/>
  </r>
  <r>
    <s v="Boston Terrier"/>
    <s v="Boston Bull"/>
    <s v="Non Sporting"/>
    <x v="0"/>
    <n v="9"/>
    <s v="Affectionate, Aggressive, Friendly, Gentle, Intelligent, Lively, Playful"/>
    <n v="750"/>
    <n v="54"/>
    <n v="3"/>
    <m/>
    <m/>
    <m/>
    <n v="21"/>
    <n v="35"/>
    <n v="35"/>
  </r>
  <r>
    <s v="Bouvier des Flanders"/>
    <m/>
    <s v="Herding"/>
    <x v="5"/>
    <n v="42"/>
    <s v="Familial, Gentle, Intelligent, Loyal, Protective, Rational"/>
    <n v="1750"/>
    <n v="29"/>
    <n v="5"/>
    <m/>
    <m/>
    <m/>
    <n v="85"/>
    <n v="15"/>
    <n v="15"/>
  </r>
  <r>
    <s v="Boxer"/>
    <m/>
    <s v="Working"/>
    <x v="4"/>
    <n v="30"/>
    <s v="Brave, Bright, Confident, Energetic, Fearless, Friendly, Intelligent, Loyal, Playful"/>
    <n v="900"/>
    <n v="49"/>
    <n v="5"/>
    <m/>
    <m/>
    <m/>
    <n v="11"/>
    <n v="5"/>
    <n v="5"/>
  </r>
  <r>
    <s v="Boykin Spaniel"/>
    <m/>
    <s v="Sporting"/>
    <x v="7"/>
    <n v="15"/>
    <s v="Companionable, Eager, Energetic, Friendly, Intelligent, Trainable"/>
    <n v="900"/>
    <m/>
    <n v="3"/>
    <m/>
    <m/>
    <m/>
    <n v="98"/>
    <n v="100"/>
    <n v="100"/>
  </r>
  <r>
    <s v="Briard"/>
    <m/>
    <s v="Herding"/>
    <x v="7"/>
    <n v="35"/>
    <s v="Faithful, Fearless, Intelligent, Loyal, Obedient, Protective"/>
    <n v="1100"/>
    <n v="30"/>
    <n v="6"/>
    <m/>
    <m/>
    <m/>
    <n v="127"/>
    <n v="107"/>
    <n v="107"/>
  </r>
  <r>
    <s v="Brittany Spaniel"/>
    <m/>
    <s v="Sporting"/>
    <x v="7"/>
    <n v="17"/>
    <s v="Alert, Independent, Intelligent, Responsive, Social"/>
    <n v="750"/>
    <n v="19"/>
    <n v="3"/>
    <m/>
    <m/>
    <m/>
    <n v="26"/>
    <n v="109"/>
    <n v="109"/>
  </r>
  <r>
    <s v="Brussels Griffon"/>
    <s v="Brabancon Griffon"/>
    <s v="Toy"/>
    <x v="0"/>
    <n v="4"/>
    <s v="Alert, Companionable, Inquisitive, Self-important, Sensitive, Watchful"/>
    <n v="900"/>
    <m/>
    <n v="3"/>
    <m/>
    <m/>
    <m/>
    <n v="94"/>
    <n v="895"/>
    <n v="895"/>
  </r>
  <r>
    <s v="Bull Terrier"/>
    <s v="American Pit Bull Terrier"/>
    <s v="Terrier"/>
    <x v="3"/>
    <n v="28"/>
    <s v="Active, Keen, Protective, Sweet-tempered, Trainable"/>
    <n v="1350"/>
    <n v="66"/>
    <n v="6"/>
    <m/>
    <m/>
    <m/>
    <n v="60"/>
    <n v="576"/>
    <n v="576"/>
  </r>
  <r>
    <s v="Bullmastiff"/>
    <s v="Bull Mastiff"/>
    <s v="Working"/>
    <x v="4"/>
    <n v="55"/>
    <s v="Alert, Calm, Courageous, Devoted, Docile, Powerful, Loyal, Protective, Reliable"/>
    <n v="1350"/>
    <n v="69"/>
    <n v="6"/>
    <n v="1"/>
    <m/>
    <m/>
    <n v="51"/>
    <n v="300"/>
    <n v="300"/>
  </r>
  <r>
    <s v="Cairn Terrier"/>
    <s v="Cairn"/>
    <s v="Terrier"/>
    <x v="3"/>
    <n v="7"/>
    <s v="Active, Assertive, Courageous, Fearless, Hardy, Intelligent"/>
    <n v="850"/>
    <n v="35"/>
    <n v="4"/>
    <m/>
    <m/>
    <m/>
    <n v="69"/>
    <n v="115"/>
    <n v="115"/>
  </r>
  <r>
    <s v="Canaan Dog"/>
    <m/>
    <s v="Herding"/>
    <x v="1"/>
    <n v="21"/>
    <s v="Alert, Cautious, Devoted, Quick, Vigilant"/>
    <n v="1000"/>
    <m/>
    <n v="3"/>
    <m/>
    <m/>
    <m/>
    <n v="175"/>
    <n v="110"/>
    <n v="110"/>
  </r>
  <r>
    <s v="Cane Corso Mastiff"/>
    <m/>
    <s v="Working"/>
    <x v="4"/>
    <n v="47"/>
    <s v="Cheerful, Courageous, Loyal, Quiet, Social"/>
    <n v="1750"/>
    <m/>
    <n v="6"/>
    <m/>
    <m/>
    <m/>
    <n v="37"/>
    <n v="11"/>
    <n v="11"/>
  </r>
  <r>
    <s v="Carolina Dog"/>
    <m/>
    <m/>
    <x v="1"/>
    <n v="18"/>
    <s v="Adaptable, Gentle, Loyal, Primitive, Reserved"/>
    <n v="900"/>
    <m/>
    <n v="3"/>
    <m/>
    <m/>
    <m/>
    <m/>
    <n v="103"/>
    <n v="103"/>
  </r>
  <r>
    <s v="Catahoula Leopard Dog"/>
    <m/>
    <s v="Herding"/>
    <x v="5"/>
    <n v="27"/>
    <s v="Alert, Courageous, Energetic, Gentle, Independent, Intelligent, Loving, Loyal, Protective"/>
    <n v="400"/>
    <m/>
    <n v="6"/>
    <m/>
    <m/>
    <m/>
    <m/>
    <n v="178"/>
    <n v="178"/>
  </r>
  <r>
    <s v="Cattle Dog"/>
    <m/>
    <s v="Herding"/>
    <x v="5"/>
    <n v="21"/>
    <s v="Aggressive, Alert, Energetic, Intelligent, Loyal, Protective, Responsive"/>
    <n v="600"/>
    <n v="10"/>
    <n v="6"/>
    <m/>
    <m/>
    <m/>
    <n v="56"/>
    <n v="209"/>
    <n v="209"/>
  </r>
  <r>
    <s v="Caucasian Sheepdog (Caucasian Ovtcharka)"/>
    <m/>
    <s v="Working"/>
    <x v="4"/>
    <n v="63"/>
    <s v="Alert, Calm, Dominant, Powerful, Quick,Strong"/>
    <n v="1750"/>
    <m/>
    <n v="6"/>
    <m/>
    <m/>
    <m/>
    <m/>
    <n v="315"/>
    <n v="315"/>
  </r>
  <r>
    <s v="Cavalier King Charles Spaniel"/>
    <m/>
    <s v="Toy"/>
    <x v="0"/>
    <n v="7"/>
    <s v="Affectionate, Cheerful, Courageous, Gentle, Intelligent, Social"/>
    <n v="1350"/>
    <n v="44"/>
    <n v="2"/>
    <m/>
    <m/>
    <m/>
    <n v="19"/>
    <n v="25"/>
    <n v="25"/>
  </r>
  <r>
    <s v="Chesapeake Bay Retriever"/>
    <m/>
    <s v="Sporting"/>
    <x v="7"/>
    <n v="33"/>
    <s v="Happy, Affectionate, Dominant, Intelligent, Protective, Quiet"/>
    <n v="800"/>
    <n v="27"/>
    <n v="3"/>
    <m/>
    <m/>
    <m/>
    <n v="43"/>
    <n v="89"/>
    <n v="89"/>
  </r>
  <r>
    <s v="Chihuahua"/>
    <m/>
    <s v="Toy"/>
    <x v="0"/>
    <n v="2"/>
    <s v="Alert, Courageous, Devoted, Lively, Intelligent, Quick"/>
    <n v="700"/>
    <n v="67"/>
    <n v="2"/>
    <m/>
    <m/>
    <m/>
    <n v="32"/>
    <n v="72"/>
    <n v="72"/>
  </r>
  <r>
    <s v="Chinese Crested Dog"/>
    <m/>
    <s v="Toy"/>
    <x v="0"/>
    <n v="4"/>
    <s v="Affectionate, Alert, Happy, Lively, Playful, Sweet-tempered"/>
    <n v="900"/>
    <n v="61"/>
    <n v="2"/>
    <m/>
    <m/>
    <m/>
    <n v="79"/>
    <n v="81"/>
    <n v="81"/>
  </r>
  <r>
    <s v="Chinese Foo Dog"/>
    <m/>
    <s v="Working"/>
    <x v="6"/>
    <n v="25"/>
    <s v="Friendly, Devoted, Courageous"/>
    <n v="2000"/>
    <m/>
    <n v="5"/>
    <m/>
    <m/>
    <m/>
    <m/>
    <n v="64"/>
    <n v="64"/>
  </r>
  <r>
    <s v="Chinook"/>
    <m/>
    <s v="Working"/>
    <x v="6"/>
    <n v="32"/>
    <s v="Alert, Calm, Dignified, Friendly, Responsive"/>
    <n v="900"/>
    <m/>
    <n v="4"/>
    <m/>
    <m/>
    <m/>
    <n v="179"/>
    <n v="210"/>
    <n v="210"/>
  </r>
  <r>
    <s v="Chocolate Labrador Retriever"/>
    <m/>
    <s v="Sporting"/>
    <x v="7"/>
    <n v="32"/>
    <s v="Affectionate, Alert, Cheerful, Energetic, Friendly, Gentle, Intelligent, Loving, Loyal, Outgoing, Playful, Responsive, Social"/>
    <n v="1500"/>
    <n v="7"/>
    <n v="3"/>
    <m/>
    <m/>
    <m/>
    <n v="1"/>
    <n v="111"/>
    <n v="111"/>
  </r>
  <r>
    <s v="Chow Chow"/>
    <s v="Chow"/>
    <s v="Non Sporting"/>
    <x v="6"/>
    <n v="26"/>
    <s v="Aloof, Independent, Loyal, Quiet, Intelligent, Protective, Detached"/>
    <n v="700"/>
    <n v="76"/>
    <n v="3"/>
    <m/>
    <m/>
    <m/>
    <n v="76"/>
    <n v="204"/>
    <n v="204"/>
  </r>
  <r>
    <s v="Cirneco dell'Etna"/>
    <m/>
    <s v="Hound"/>
    <x v="1"/>
    <n v="11"/>
    <s v="Affectionate, Gentle, Lively"/>
    <n v="900"/>
    <m/>
    <n v="3"/>
    <m/>
    <m/>
    <m/>
    <n v="184"/>
    <n v="35"/>
    <n v="35"/>
  </r>
  <r>
    <s v="Clumber Spaniel"/>
    <s v="Clumber"/>
    <s v="Sporting"/>
    <x v="7"/>
    <n v="32"/>
    <s v="Gentle, Loyal, Affectionate, Dignified, Aloof"/>
    <n v="1000"/>
    <n v="37"/>
    <n v="3"/>
    <m/>
    <m/>
    <m/>
    <n v="140"/>
    <n v="11"/>
    <n v="11"/>
  </r>
  <r>
    <s v="Cockapoo"/>
    <m/>
    <s v="Sporting"/>
    <x v="7"/>
    <n v="8"/>
    <s v="Affectionate, Alert, Cheerful, Friendly, Intelligent, Loving, Loyal, Outgoing, Playful, Responsive, Social"/>
    <n v="1000"/>
    <m/>
    <n v="3"/>
    <m/>
    <m/>
    <m/>
    <m/>
    <n v="115"/>
    <n v="115"/>
  </r>
  <r>
    <s v="Cocker Spaniel"/>
    <m/>
    <s v="Sporting"/>
    <x v="7"/>
    <n v="10"/>
    <s v="Even Tempered, Joyful, Merry, Outgoing, Intelligent, Sociable, Trusting"/>
    <n v="700"/>
    <n v="20"/>
    <n v="3"/>
    <m/>
    <m/>
    <m/>
    <n v="29"/>
    <n v="203"/>
    <n v="203"/>
  </r>
  <r>
    <s v="Collie"/>
    <m/>
    <s v="Herding"/>
    <x v="5"/>
    <n v="31"/>
    <s v="Friendly, Gentle, Intelligent, Loyal, Protective, Responsive, Social"/>
    <n v="500"/>
    <n v="16"/>
    <n v="5"/>
    <m/>
    <m/>
    <m/>
    <n v="40"/>
    <n v="45"/>
    <n v="45"/>
  </r>
  <r>
    <s v="Coonhound"/>
    <m/>
    <s v="Hound"/>
    <x v="8"/>
    <n v="55"/>
    <s v="Adaptable, Easygoing, Even-tempered, Gentle, Lovable, Trusting, Intelligent"/>
    <n v="350"/>
    <n v="44"/>
    <n v="3"/>
    <m/>
    <m/>
    <m/>
    <n v="130"/>
    <n v="59"/>
    <n v="59"/>
  </r>
  <r>
    <s v="Corgi"/>
    <m/>
    <s v="Herding"/>
    <x v="5"/>
    <n v="13"/>
    <s v="Active, Affectionate, Alert, Companionable, Devoted, Gentle, Intelligent"/>
    <n v="1100"/>
    <n v="26"/>
    <n v="4"/>
    <m/>
    <m/>
    <m/>
    <n v="68"/>
    <n v="55"/>
    <n v="55"/>
  </r>
  <r>
    <s v="Coton de Tulear"/>
    <m/>
    <s v="Non Sporting"/>
    <x v="0"/>
    <n v="6"/>
    <s v="Affectionate, Intelligent, Lively, Playful, Trainable, Vocal"/>
    <n v="2700"/>
    <m/>
    <n v="3"/>
    <m/>
    <m/>
    <m/>
    <n v="81"/>
    <n v="23"/>
    <n v="23"/>
  </r>
  <r>
    <s v="Curly-Coated Retriever"/>
    <m/>
    <s v="Sporting"/>
    <x v="7"/>
    <n v="34"/>
    <s v="Clever, Independent, Intelligent, Lively, Sensitive, Trainable"/>
    <n v="700"/>
    <n v="41"/>
    <n v="3"/>
    <m/>
    <m/>
    <m/>
    <n v="171"/>
    <n v="45"/>
    <n v="45"/>
  </r>
  <r>
    <s v="Dachshund"/>
    <m/>
    <s v="Hound"/>
    <x v="8"/>
    <n v="7"/>
    <s v="Clever, Courageous, Devoted, Lively, Playful, Stubborn"/>
    <n v="600"/>
    <n v="49"/>
    <n v="3"/>
    <m/>
    <m/>
    <m/>
    <n v="13"/>
    <n v="101"/>
    <n v="101"/>
  </r>
  <r>
    <s v="Dalmatian"/>
    <m/>
    <s v="Non Sporting"/>
    <x v="0"/>
    <n v="25"/>
    <s v="Active, Energetic, Friendly, Intelligent, Outgoing, Playful, Sensitive"/>
    <n v="800"/>
    <n v="39"/>
    <n v="3"/>
    <m/>
    <m/>
    <m/>
    <n v="63"/>
    <n v="115"/>
    <n v="115"/>
  </r>
  <r>
    <s v="Dandi Dinmont Terrier"/>
    <s v="Dandie Dinmont"/>
    <s v="Terrier"/>
    <x v="3"/>
    <n v="10"/>
    <s v="Affectionate, Companionable, Determined, Fun-loving, Independent, Lively, Intelligent"/>
    <n v="1500"/>
    <n v="62"/>
    <n v="3"/>
    <m/>
    <m/>
    <m/>
    <n v="182"/>
    <n v="309"/>
    <n v="309"/>
  </r>
  <r>
    <s v="Dhole"/>
    <m/>
    <m/>
    <x v="2"/>
    <n v="18"/>
    <s v="Wild"/>
    <m/>
    <m/>
    <m/>
    <m/>
    <m/>
    <m/>
    <m/>
    <n v="250"/>
    <n v="250"/>
  </r>
  <r>
    <s v="Dingo"/>
    <m/>
    <m/>
    <x v="2"/>
    <n v="16"/>
    <s v="Wild"/>
    <m/>
    <m/>
    <m/>
    <m/>
    <m/>
    <m/>
    <m/>
    <n v="301"/>
    <n v="301"/>
  </r>
  <r>
    <s v="Doberman Pinscher"/>
    <s v="Doberman"/>
    <s v="Working"/>
    <x v="4"/>
    <n v="43"/>
    <s v="Alert, Energetic, Fearless, Intelligent, Loyal, Obedient"/>
    <n v="900"/>
    <n v="5"/>
    <n v="6"/>
    <n v="1"/>
    <m/>
    <m/>
    <n v="16"/>
    <n v="256"/>
    <n v="256"/>
  </r>
  <r>
    <s v="Dogo Argentino"/>
    <m/>
    <s v="Working"/>
    <x v="4"/>
    <n v="43"/>
    <s v="Affectionate, Cheerful, Friendly, Loyal, Protective, Tolerant, Social"/>
    <n v="39000"/>
    <m/>
    <n v="5"/>
    <m/>
    <n v="1"/>
    <m/>
    <m/>
    <n v="22"/>
    <n v="22"/>
  </r>
  <r>
    <s v="Dogue de Bordeaux"/>
    <m/>
    <s v="Working"/>
    <x v="4"/>
    <n v="60"/>
    <s v="Companionable, Courageous, Devoted, Even-tempered, Loyal, Vigiliant"/>
    <n v="1150"/>
    <m/>
    <n v="6"/>
    <m/>
    <m/>
    <m/>
    <n v="67"/>
    <n v="21"/>
    <n v="21"/>
  </r>
  <r>
    <s v="Dutch Shepherd"/>
    <m/>
    <s v="Herding"/>
    <x v="5"/>
    <n v="28"/>
    <s v="Affectionate, Alert, Loyal, Obedient, Reliable, Trainable"/>
    <n v="1100"/>
    <m/>
    <n v="5"/>
    <m/>
    <m/>
    <m/>
    <m/>
    <n v="14"/>
    <n v="14"/>
  </r>
  <r>
    <s v="English Bulldog"/>
    <m/>
    <s v="Non Sporting"/>
    <x v="0"/>
    <n v="25"/>
    <s v="Aggressive, Courageous, Friendly, Loving, Social, Sweet"/>
    <n v="1600"/>
    <n v="77"/>
    <n v="3"/>
    <m/>
    <m/>
    <m/>
    <n v="5"/>
    <n v="145"/>
    <n v="145"/>
  </r>
  <r>
    <s v="English Cocker Spaniel"/>
    <m/>
    <s v="Sporting"/>
    <x v="7"/>
    <n v="14"/>
    <s v="Affectionate, Faithful, Friendly, Intelligent, Playful, Quiet, Trainable"/>
    <n v="1050"/>
    <n v="18"/>
    <n v="4"/>
    <m/>
    <m/>
    <m/>
    <n v="52"/>
    <n v="76"/>
    <n v="76"/>
  </r>
  <r>
    <s v="English Coonhound"/>
    <m/>
    <s v="Hound"/>
    <x v="8"/>
    <n v="26"/>
    <s v="Active, Energetic, High-strung, Loyal"/>
    <n v="1100"/>
    <m/>
    <n v="4"/>
    <m/>
    <m/>
    <m/>
    <n v="178"/>
    <n v="54"/>
    <n v="54"/>
  </r>
  <r>
    <s v="English Pointer"/>
    <m/>
    <s v="Sporting"/>
    <x v="7"/>
    <n v="25"/>
    <s v="Active, Affectionate, Amiable, Even-tempered, Kind, Loyal, Intelligent"/>
    <n v="450"/>
    <n v="43"/>
    <n v="4"/>
    <m/>
    <m/>
    <m/>
    <n v="113"/>
    <n v="153"/>
    <n v="153"/>
  </r>
  <r>
    <s v="English Setter"/>
    <m/>
    <s v="Sporting"/>
    <x v="7"/>
    <n v="30"/>
    <s v="Strong-willed, Mischevious, Gentle, Energetic, Intelligent"/>
    <n v="500"/>
    <n v="37"/>
    <n v="3"/>
    <m/>
    <m/>
    <m/>
    <n v="95"/>
    <n v="25"/>
    <n v="25"/>
  </r>
  <r>
    <s v="English Shepherd"/>
    <m/>
    <s v="Herding"/>
    <x v="5"/>
    <n v="25"/>
    <s v="Adaptable, Alert, Courageous, Energetic, Friendly, Independent, Intelligent, Playful, Responsibe"/>
    <n v="900"/>
    <m/>
    <n v="4"/>
    <m/>
    <m/>
    <m/>
    <m/>
    <n v="96"/>
    <n v="96"/>
  </r>
  <r>
    <s v="English Springer Spaniel"/>
    <m/>
    <s v="Sporting"/>
    <x v="7"/>
    <n v="23"/>
    <s v="Affectionate, Alert, Cheerful, Energetic, Intelligent, Playful, Social"/>
    <n v="750"/>
    <n v="13"/>
    <n v="3"/>
    <m/>
    <m/>
    <m/>
    <n v="27"/>
    <n v="77"/>
    <n v="77"/>
  </r>
  <r>
    <s v="English Toy Spaniel"/>
    <s v="Blenheim Spaniel"/>
    <s v="Toy"/>
    <x v="0"/>
    <n v="5"/>
    <s v="Affectionate, Gentle, Happy, Loving, Playful, Reserved"/>
    <n v="1400"/>
    <m/>
    <n v="3"/>
    <m/>
    <m/>
    <m/>
    <n v="134"/>
    <n v="63"/>
    <n v="63"/>
  </r>
  <r>
    <s v="Entlebucher"/>
    <m/>
    <s v="Herding"/>
    <x v="4"/>
    <n v="27"/>
    <s v="Agile, Devoted, Independent, Loyal, Self-confident"/>
    <m/>
    <m/>
    <n v="6"/>
    <m/>
    <m/>
    <m/>
    <n v="152"/>
    <n v="95"/>
    <n v="95"/>
  </r>
  <r>
    <s v="Eskimo Dog"/>
    <m/>
    <s v="Non Sporting"/>
    <x v="6"/>
    <n v="8"/>
    <s v="Alert, Energetic, Friendly, Independent, Intelligent, Protective"/>
    <n v="700"/>
    <m/>
    <n v="4"/>
    <m/>
    <m/>
    <m/>
    <n v="118"/>
    <n v="103"/>
    <n v="103"/>
  </r>
  <r>
    <s v="Feist"/>
    <m/>
    <s v="Terrier"/>
    <x v="3"/>
    <n v="15"/>
    <s v="Agile, Alert, Lovable, Spirited, Swift"/>
    <n v="350"/>
    <m/>
    <n v="4"/>
    <m/>
    <m/>
    <m/>
    <m/>
    <n v="115"/>
    <n v="115"/>
  </r>
  <r>
    <s v="Field Spaniel"/>
    <m/>
    <s v="Sporting"/>
    <x v="7"/>
    <n v="19"/>
    <s v="Adaptable, Cautious, Docile, Familial, Sensitive, Sociable"/>
    <n v="900"/>
    <n v="34"/>
    <n v="3"/>
    <m/>
    <m/>
    <m/>
    <n v="145"/>
    <n v="79"/>
    <n v="79"/>
  </r>
  <r>
    <s v="Fila Brasileiro"/>
    <m/>
    <s v="Working"/>
    <x v="4"/>
    <n v="46"/>
    <s v="Brave, Courageous, Determined, Docile, Loyal, Obedient"/>
    <n v="1150"/>
    <m/>
    <n v="5"/>
    <m/>
    <n v="1"/>
    <m/>
    <m/>
    <n v="5"/>
    <n v="5"/>
  </r>
  <r>
    <s v="Finnish Lapphund"/>
    <m/>
    <s v="Herding"/>
    <x v="6"/>
    <n v="18"/>
    <s v="Calm, Courageous, Faithful, Friendly, Keen"/>
    <n v="700"/>
    <m/>
    <n v="5"/>
    <m/>
    <m/>
    <m/>
    <n v="173"/>
    <n v="20"/>
    <n v="20"/>
  </r>
  <r>
    <s v="Finnish Spitz"/>
    <m/>
    <s v="Non Sporting"/>
    <x v="6"/>
    <n v="15"/>
    <s v="Happy, Independent, Intelligent, Loyal, Playful, Vocal"/>
    <n v="600"/>
    <n v="43"/>
    <n v="3"/>
    <m/>
    <m/>
    <m/>
    <n v="177"/>
    <n v="15"/>
    <n v="15"/>
  </r>
  <r>
    <s v="Flat-coated Retriever"/>
    <m/>
    <s v="Sporting"/>
    <x v="7"/>
    <n v="30"/>
    <s v="Friendly, Confident, Devoted, Optimistic, Outgoing, Intelligent"/>
    <n v="1100"/>
    <n v="18"/>
    <n v="5"/>
    <m/>
    <m/>
    <m/>
    <n v="96"/>
    <n v="5"/>
    <n v="5"/>
  </r>
  <r>
    <s v="Fox Terrier"/>
    <m/>
    <s v="Terrier"/>
    <x v="3"/>
    <n v="8"/>
    <s v="Active, Affectionate, Alert, Fearless, Intelligent, Playful"/>
    <n v="850"/>
    <n v="40"/>
    <n v="3"/>
    <m/>
    <m/>
    <m/>
    <n v="122"/>
    <n v="49"/>
    <n v="49"/>
  </r>
  <r>
    <s v="Foxhound"/>
    <m/>
    <s v="Hound"/>
    <x v="8"/>
    <n v="32"/>
    <s v="Independent, Intelligent, Kind, Loving, Loyal, Sweet-tempered"/>
    <n v="500"/>
    <n v="46"/>
    <n v="2"/>
    <m/>
    <m/>
    <m/>
    <n v="187"/>
    <n v="4"/>
    <n v="4"/>
  </r>
  <r>
    <s v="French Bulldog"/>
    <m/>
    <s v="Non Sporting"/>
    <x v="0"/>
    <n v="12"/>
    <s v="Affectionate, Playful, Alert, Athletic, Bright, Easygoing, Keen, Lively, Patient"/>
    <n v="3000"/>
    <n v="58"/>
    <n v="3"/>
    <m/>
    <m/>
    <m/>
    <n v="4"/>
    <n v="39"/>
    <n v="39"/>
  </r>
  <r>
    <s v="Galgo Spanish Greyhound"/>
    <m/>
    <s v="Hound"/>
    <x v="1"/>
    <n v="25"/>
    <s v="Affectionate, Calm, Quiet, Gentle"/>
    <n v="700"/>
    <m/>
    <n v="3"/>
    <m/>
    <m/>
    <m/>
    <m/>
    <n v="77"/>
    <n v="77"/>
  </r>
  <r>
    <s v="German Pinscher"/>
    <m/>
    <s v="Working"/>
    <x v="3"/>
    <n v="14"/>
    <s v="Even-tempered, Familial, Courageous, Lively, Loving, Spirited"/>
    <n v="1500"/>
    <m/>
    <n v="6"/>
    <n v="1"/>
    <m/>
    <m/>
    <n v="136"/>
    <n v="32"/>
    <n v="32"/>
  </r>
  <r>
    <s v="German Shepherd Dog"/>
    <s v="German Shepherd"/>
    <s v="Herding"/>
    <x v="5"/>
    <n v="35"/>
    <s v="Alert, Confident, Courageous, Curious, Intelligent, Loyal, Obedient, Watchful"/>
    <n v="1400"/>
    <n v="3"/>
    <n v="6"/>
    <n v="1"/>
    <m/>
    <n v="8"/>
    <n v="2"/>
    <n v="125"/>
    <n v="125"/>
  </r>
  <r>
    <s v="German Shorthaired Pointer"/>
    <s v="German Short Haired Pointer"/>
    <s v="Working"/>
    <x v="7"/>
    <n v="29"/>
    <s v="Affectionate, Boisterous, Bold, Cooperative, Intelligent, Trainable"/>
    <n v="700"/>
    <n v="17"/>
    <n v="3"/>
    <m/>
    <m/>
    <m/>
    <n v="10"/>
    <n v="110"/>
    <n v="110"/>
  </r>
  <r>
    <s v="German Spitz"/>
    <m/>
    <s v="Non Sporting"/>
    <x v="6"/>
    <n v="8"/>
    <s v="Alert, Energetic, Friendly, Independent, Intelligent, Protective"/>
    <n v="700"/>
    <m/>
    <n v="4"/>
    <m/>
    <m/>
    <m/>
    <n v="118"/>
    <n v="55"/>
    <n v="55"/>
  </r>
  <r>
    <s v="German Wirehaired Pointer"/>
    <m/>
    <s v="Sporting"/>
    <x v="7"/>
    <n v="30"/>
    <s v="Active, Affectionate, Friendly, Intelligent, Loyal, Willful, Responsive"/>
    <n v="800"/>
    <n v="44"/>
    <n v="6"/>
    <m/>
    <m/>
    <m/>
    <n v="62"/>
    <n v="59"/>
    <n v="59"/>
  </r>
  <r>
    <s v="Giant Schnauzer"/>
    <m/>
    <s v="Working"/>
    <x v="0"/>
    <n v="38"/>
    <s v="Dominant, Intelligent, Kind, Loyal, Powerful, Strong-willed"/>
    <n v="1250"/>
    <n v="28"/>
    <n v="6"/>
    <m/>
    <m/>
    <m/>
    <n v="80"/>
    <n v="83"/>
    <n v="61"/>
  </r>
  <r>
    <s v="Glen of Imaal Terrier"/>
    <m/>
    <s v="Terrier"/>
    <x v="3"/>
    <n v="16"/>
    <s v="Active, Agile, Courageous, Gentle, Loyal, Spirited"/>
    <n v="900"/>
    <m/>
    <n v="3"/>
    <m/>
    <m/>
    <m/>
    <n v="158"/>
    <n v="112"/>
    <n v="112"/>
  </r>
  <r>
    <s v="Golden Retriever"/>
    <m/>
    <s v="Sporting"/>
    <x v="7"/>
    <n v="32"/>
    <s v="Confident, Friendly, Intelligent, Kind, Reliable, Trustworthy"/>
    <n v="1500"/>
    <n v="4"/>
    <n v="3"/>
    <m/>
    <m/>
    <n v="6"/>
    <n v="3"/>
    <n v="150"/>
    <n v="150"/>
  </r>
  <r>
    <s v="Gordon Setter"/>
    <m/>
    <s v="Sporting"/>
    <x v="7"/>
    <n v="31"/>
    <s v="Alert, Confident, Eager, Fearless, Loyal, Intelligent"/>
    <n v="900"/>
    <n v="34"/>
    <n v="4"/>
    <m/>
    <m/>
    <m/>
    <n v="104"/>
    <n v="153"/>
    <n v="153"/>
  </r>
  <r>
    <s v="Great Dane"/>
    <m/>
    <s v="Working"/>
    <x v="4"/>
    <n v="77"/>
    <s v="Friendly, Confident, Devoted, Intelligent, Gentle, Loving, Reserved"/>
    <n v="1000"/>
    <n v="48"/>
    <n v="5"/>
    <m/>
    <m/>
    <m/>
    <n v="14"/>
    <n v="149"/>
    <n v="149"/>
  </r>
  <r>
    <s v="Great Pyrenees"/>
    <m/>
    <s v="Working"/>
    <x v="4"/>
    <n v="45"/>
    <s v="Affectionate, Confident, Fearless, Gentle, Patient, Strong-willed"/>
    <n v="800"/>
    <n v="64"/>
    <n v="6"/>
    <m/>
    <m/>
    <m/>
    <n v="66"/>
    <n v="121"/>
    <n v="121"/>
  </r>
  <r>
    <s v="Greater Swiss Mountain Dog"/>
    <m/>
    <s v="Working"/>
    <x v="4"/>
    <n v="60"/>
    <s v="Alert, Devoted, Fearless, Good-natured, Protective, Self-confident"/>
    <n v="2250"/>
    <m/>
    <n v="5"/>
    <m/>
    <m/>
    <m/>
    <n v="75"/>
    <n v="101"/>
    <n v="101"/>
  </r>
  <r>
    <s v="Greyhound"/>
    <m/>
    <s v="Hound"/>
    <x v="1"/>
    <n v="33"/>
    <s v="Intelligent, Gentle, Affectionate, Athletic, Even-tempered, Quiet"/>
    <n v="650"/>
    <n v="46"/>
    <n v="3"/>
    <m/>
    <m/>
    <m/>
    <n v="156"/>
    <n v="93"/>
    <n v="93"/>
  </r>
  <r>
    <s v="Harrier"/>
    <m/>
    <s v="Hound"/>
    <x v="8"/>
    <n v="22"/>
    <s v="Active, Cheerful, Friendly, Outgoing, Sweet-tempered, Tolerant"/>
    <n v="350"/>
    <m/>
    <n v="2"/>
    <m/>
    <m/>
    <m/>
    <n v="183"/>
    <n v="204"/>
    <n v="204"/>
  </r>
  <r>
    <s v="Havanese"/>
    <m/>
    <s v="Toy"/>
    <x v="0"/>
    <n v="5"/>
    <s v="Affectionate, Companionable, Gentle, Intelligent, Playful, Responsive"/>
    <n v="1050"/>
    <m/>
    <n v="3"/>
    <m/>
    <m/>
    <m/>
    <n v="23"/>
    <n v="505"/>
    <n v="505"/>
  </r>
  <r>
    <s v="Hound"/>
    <m/>
    <s v="Hound"/>
    <x v="8"/>
    <n v="32"/>
    <s v="Independent, Intelligent, Kind, Loving, Loyal, Sweet-tempered"/>
    <n v="500"/>
    <n v="46"/>
    <n v="2"/>
    <m/>
    <m/>
    <m/>
    <n v="187"/>
    <n v="396"/>
    <n v="396"/>
  </r>
  <r>
    <s v="Hovawart"/>
    <m/>
    <s v="Working"/>
    <x v="4"/>
    <n v="38"/>
    <s v="Watchful, Even-tempered, Reserved, Active, Devoted"/>
    <n v="1100"/>
    <m/>
    <n v="6"/>
    <m/>
    <m/>
    <m/>
    <m/>
    <n v="111"/>
    <n v="111"/>
  </r>
  <r>
    <s v="Husky"/>
    <m/>
    <s v="Working"/>
    <x v="6"/>
    <n v="24"/>
    <s v="Alert, Friendly, Gentle, Intelligent, Outgoing"/>
    <n v="950"/>
    <n v="45"/>
    <n v="1"/>
    <m/>
    <m/>
    <m/>
    <n v="12"/>
    <n v="14"/>
    <n v="14"/>
  </r>
  <r>
    <s v="Ibizan Hound"/>
    <m/>
    <s v="Hound"/>
    <x v="1"/>
    <n v="22"/>
    <s v="Active, Clownish, Engaging, Independent, Intelligent, Stubborn"/>
    <n v="1000"/>
    <n v="53"/>
    <n v="3"/>
    <m/>
    <m/>
    <m/>
    <n v="165"/>
    <n v="20"/>
    <n v="20"/>
  </r>
  <r>
    <s v="Illyrian Sheepdog"/>
    <m/>
    <s v="Herding"/>
    <x v="5"/>
    <n v="40"/>
    <s v="Independent, Reliable, Devoted, Protective"/>
    <n v="1500"/>
    <m/>
    <n v="6"/>
    <m/>
    <m/>
    <m/>
    <m/>
    <n v="25"/>
    <n v="25"/>
  </r>
  <r>
    <s v="Irish Setter"/>
    <m/>
    <s v="Sporting"/>
    <x v="7"/>
    <n v="32"/>
    <s v="Affectionate, Companionable, Energetic, Independent, Lively, Playful, Intelligent"/>
    <n v="900"/>
    <n v="35"/>
    <n v="3"/>
    <m/>
    <m/>
    <m/>
    <n v="72"/>
    <n v="67"/>
    <n v="67"/>
  </r>
  <r>
    <s v="Irish Terrier"/>
    <m/>
    <s v="Terrier"/>
    <x v="3"/>
    <n v="12"/>
    <s v="Dominant, Intelligent, Lively, Protective, Respectful, Trainable"/>
    <n v="700"/>
    <n v="53"/>
    <n v="5"/>
    <m/>
    <m/>
    <m/>
    <n v="114"/>
    <n v="77"/>
    <n v="77"/>
  </r>
  <r>
    <s v="Irish Water Spaniel"/>
    <m/>
    <s v="Sporting"/>
    <x v="7"/>
    <n v="25"/>
    <s v="Active, Alert, Clownish, Inquisitive, Intelligent, Quick"/>
    <n v="900"/>
    <n v="24"/>
    <n v="4"/>
    <m/>
    <m/>
    <m/>
    <n v="164"/>
    <n v="74172"/>
    <n v="74172"/>
  </r>
  <r>
    <s v="Irish Wolfhound"/>
    <m/>
    <s v="Hound"/>
    <x v="8"/>
    <n v="55"/>
    <s v="Dignified, Generous, Loyal, Patient, Sweet-tempered, Thoughtful, Intelligent"/>
    <n v="1900"/>
    <n v="41"/>
    <n v="3"/>
    <m/>
    <m/>
    <m/>
    <n v="73"/>
    <n v="254"/>
    <n v="254"/>
  </r>
  <r>
    <s v="Italian Greyhound"/>
    <m/>
    <s v="Toy"/>
    <x v="0"/>
    <n v="4"/>
    <s v="Affectionate, Agile, Athletic, Companionable, Intelligent, Mischevious"/>
    <n v="900"/>
    <n v="60"/>
    <n v="3"/>
    <m/>
    <m/>
    <m/>
    <n v="74"/>
    <n v="232"/>
    <n v="232"/>
  </r>
  <r>
    <s v="Italian Spinone"/>
    <m/>
    <s v="Sporting"/>
    <x v="7"/>
    <n v="33"/>
    <s v="Friendly, Loyal, Affectionate, Docile, Gentle, Patient"/>
    <n v="1750"/>
    <m/>
    <n v="3"/>
    <m/>
    <m/>
    <m/>
    <n v="111"/>
    <n v="597"/>
    <n v="597"/>
  </r>
  <r>
    <s v="Jack Russell Terrier"/>
    <m/>
    <s v="Terrier"/>
    <x v="3"/>
    <n v="7"/>
    <s v="Alert, Cheerful, Courageous, Energetic, Independent"/>
    <n v="850"/>
    <m/>
    <n v="4"/>
    <m/>
    <m/>
    <m/>
    <n v="78"/>
    <n v="321"/>
    <n v="321"/>
  </r>
  <r>
    <s v="Jack Russell Terrier (Parson Russell Terrier)"/>
    <m/>
    <s v="Terrier"/>
    <x v="3"/>
    <n v="7"/>
    <s v="Energetic, Bold, Eager, Happy, Intelligent, Obedient"/>
    <n v="500"/>
    <m/>
    <n v="3"/>
    <m/>
    <m/>
    <m/>
    <n v="119"/>
    <n v="10"/>
    <n v="10"/>
  </r>
  <r>
    <s v="Japanese Chin"/>
    <s v="Japanese Spaniel"/>
    <s v="Toy"/>
    <x v="0"/>
    <n v="5"/>
    <s v="Alert, Cat-like, Independent, Intelligent, Loving, Loyal, Playful"/>
    <n v="400"/>
    <n v="62"/>
    <n v="3"/>
    <m/>
    <m/>
    <m/>
    <n v="108"/>
    <n v="28"/>
    <n v="28"/>
  </r>
  <r>
    <s v="Jindo"/>
    <m/>
    <s v="Sporting"/>
    <x v="6"/>
    <n v="20"/>
    <s v="Active, Bold, Brave, Faithful, Intelligent, Loyal"/>
    <n v="350"/>
    <m/>
    <n v="4"/>
    <m/>
    <m/>
    <m/>
    <m/>
    <n v="48"/>
    <n v="48"/>
  </r>
  <r>
    <s v="Kai Dog"/>
    <m/>
    <s v="Non Sporting"/>
    <x v="6"/>
    <n v="18"/>
    <s v="Intelligent, Agile, Alert, Brave"/>
    <n v="3000"/>
    <m/>
    <n v="5"/>
    <m/>
    <m/>
    <m/>
    <m/>
    <n v="54"/>
    <n v="54"/>
  </r>
  <r>
    <s v="Karelian Bear Dog"/>
    <m/>
    <s v="Sporting"/>
    <x v="6"/>
    <n v="22"/>
    <s v="Brave, Cautious, Loyal, Independent, Tenacious, Territorial"/>
    <n v="1100"/>
    <m/>
    <n v="4"/>
    <m/>
    <m/>
    <m/>
    <m/>
    <n v="71"/>
    <n v="71"/>
  </r>
  <r>
    <s v="Keeshond"/>
    <m/>
    <s v="Non Sporting"/>
    <x v="6"/>
    <n v="18"/>
    <s v="Agile, Bright, Obedient, Playful, Quick, Sturdy, Intelligent"/>
    <n v="900"/>
    <n v="16"/>
    <n v="4"/>
    <m/>
    <m/>
    <m/>
    <n v="87"/>
    <n v="95"/>
    <n v="95"/>
  </r>
  <r>
    <s v="Kerry Blue Terrier"/>
    <m/>
    <s v="Terrier"/>
    <x v="3"/>
    <n v="17"/>
    <s v="Affectionate, Alert, Gentle, Loyal, Spirited, Strong-willed, Intelligent"/>
    <n v="550"/>
    <n v="35"/>
    <n v="5"/>
    <m/>
    <m/>
    <m/>
    <n v="129"/>
    <n v="107"/>
    <n v="107"/>
  </r>
  <r>
    <s v="Kishu"/>
    <m/>
    <s v="Sporting"/>
    <x v="6"/>
    <n v="20"/>
    <s v="Alert, Dignified, Docile, Faithful, Noble"/>
    <n v="400"/>
    <m/>
    <n v="4"/>
    <m/>
    <m/>
    <m/>
    <m/>
    <n v="220"/>
    <n v="220"/>
  </r>
  <r>
    <s v="Klee Kai"/>
    <m/>
    <s v="Non Sporting"/>
    <x v="6"/>
    <n v="7"/>
    <s v="Active, Agile, Curious, Intelligent, Loyal, Quick, Territorial"/>
    <n v="1250"/>
    <m/>
    <n v="5"/>
    <m/>
    <m/>
    <m/>
    <m/>
    <n v="225"/>
    <n v="225"/>
  </r>
  <r>
    <s v="Komondor"/>
    <m/>
    <s v="Working"/>
    <x v="4"/>
    <n v="59"/>
    <s v="Affectionate, Calm, Fearless, Gentle, Independent, Steady"/>
    <n v="1000"/>
    <m/>
    <n v="6"/>
    <m/>
    <m/>
    <m/>
    <n v="163"/>
    <n v="309"/>
    <n v="309"/>
  </r>
  <r>
    <s v="Kuvasz"/>
    <m/>
    <s v="Working"/>
    <x v="4"/>
    <n v="49"/>
    <s v="Clownish, Independent, Intelligent, Loyal, Patient, Protective"/>
    <n v="1350"/>
    <n v="42"/>
    <n v="6"/>
    <m/>
    <m/>
    <m/>
    <n v="157"/>
    <n v="457"/>
    <n v="457"/>
  </r>
  <r>
    <s v="Kyi Leo"/>
    <m/>
    <s v="Non Sporting"/>
    <x v="0"/>
    <n v="5"/>
    <s v="Active, Calm, Forgiving, Obedient, Playful, Quiet"/>
    <n v="700"/>
    <m/>
    <n v="3"/>
    <m/>
    <m/>
    <m/>
    <m/>
    <n v="689"/>
    <n v="689"/>
  </r>
  <r>
    <s v="Labrador Retriever"/>
    <m/>
    <s v="Sporting"/>
    <x v="7"/>
    <n v="32"/>
    <s v="Affectionate, Alert, Cheerful, Energetic, Friendly, Gentle, Intelligent, Loving, Loyal, Outgoing, Playful, Responsive, Social"/>
    <n v="1500"/>
    <n v="7"/>
    <n v="3"/>
    <m/>
    <m/>
    <m/>
    <n v="1"/>
    <n v="351"/>
    <n v="351"/>
  </r>
  <r>
    <s v="Lakeland Terrier"/>
    <m/>
    <s v="Terrier"/>
    <x v="3"/>
    <n v="8"/>
    <s v="Independent, Bold, Confident, Friendly, Intelligent, Trainable"/>
    <n v="1500"/>
    <n v="62"/>
    <n v="3"/>
    <m/>
    <m/>
    <m/>
    <n v="138"/>
    <n v="32"/>
    <n v="32"/>
  </r>
  <r>
    <s v="Lancashire Heeler"/>
    <m/>
    <s v="Herding"/>
    <x v="5"/>
    <n v="5"/>
    <s v="Alert, Clever, Friendly, Intelligent"/>
    <n v="700"/>
    <m/>
    <n v="3"/>
    <m/>
    <m/>
    <m/>
    <m/>
    <n v="75"/>
    <n v="75"/>
  </r>
  <r>
    <s v="Leonberger"/>
    <m/>
    <s v="Working"/>
    <x v="4"/>
    <n v="64"/>
    <s v="Adaptable, Companionable, Fearless, Loving, Loyal, Obedient"/>
    <n v="1750"/>
    <m/>
    <n v="5"/>
    <m/>
    <m/>
    <m/>
    <n v="100"/>
    <n v="33"/>
    <n v="33"/>
  </r>
  <r>
    <s v="Lhasa Apso"/>
    <m/>
    <s v="Non Sporting"/>
    <x v="0"/>
    <n v="6"/>
    <s v="Alert, Assertive, Devoted, Friendly, Intelligent, Lively, Obedient, Playful, Spirited, Steady"/>
    <n v="600"/>
    <n v="68"/>
    <n v="3"/>
    <m/>
    <m/>
    <m/>
    <n v="77"/>
    <n v="5"/>
    <n v="5"/>
  </r>
  <r>
    <s v="Lowchen"/>
    <m/>
    <s v="Non Sporting"/>
    <x v="0"/>
    <n v="6"/>
    <s v="Active, Familial, Friendly, Happy, Playful"/>
    <n v="400"/>
    <m/>
    <n v="3"/>
    <m/>
    <m/>
    <m/>
    <n v="169"/>
    <n v="125"/>
    <n v="125"/>
  </r>
  <r>
    <s v="Maltese"/>
    <s v="Maltese Dog"/>
    <s v="Toy"/>
    <x v="0"/>
    <n v="4"/>
    <s v="Active, Docile, Easygoing, Gentle, Intelligent, Playful, Responsive, Sweet-tempered"/>
    <n v="700"/>
    <n v="59"/>
    <n v="3"/>
    <m/>
    <m/>
    <m/>
    <n v="33"/>
    <n v="79"/>
    <n v="79"/>
  </r>
  <r>
    <s v="Manchester Terrier"/>
    <m/>
    <s v="Terrier"/>
    <x v="3"/>
    <n v="6"/>
    <s v="Active, Alert, Devoted, Discerning, Quiet, Loyal, Intelligent"/>
    <n v="800"/>
    <n v="32"/>
    <n v="3"/>
    <m/>
    <m/>
    <m/>
    <n v="135"/>
    <n v="16"/>
    <n v="16"/>
  </r>
  <r>
    <s v="Maremma Sheepdog"/>
    <m/>
    <s v="Working"/>
    <x v="4"/>
    <n v="38"/>
    <s v="Alert, Determined, Dignified, Friendly, Intelligent, Loyal"/>
    <n v="700"/>
    <m/>
    <n v="4"/>
    <m/>
    <m/>
    <m/>
    <m/>
    <n v="33"/>
    <n v="33"/>
  </r>
  <r>
    <s v="Mastiff"/>
    <m/>
    <s v="Working"/>
    <x v="4"/>
    <n v="90"/>
    <s v="Affectionate, Alert, Cheerful, Courageous, Intelligent, Loyal, Protective"/>
    <n v="1350"/>
    <n v="72"/>
    <n v="6"/>
    <m/>
    <m/>
    <m/>
    <n v="28"/>
    <n v="71"/>
    <n v="71"/>
  </r>
  <r>
    <s v="McNab"/>
    <m/>
    <s v="Herding"/>
    <x v="5"/>
    <n v="23"/>
    <s v="Friendly, Hard-working, Obedient, Protective, Sociable, Well-mannered"/>
    <n v="400"/>
    <m/>
    <n v="3"/>
    <m/>
    <m/>
    <m/>
    <m/>
    <n v="96"/>
    <n v="96"/>
  </r>
  <r>
    <s v="Miniature Pinscher"/>
    <m/>
    <s v="Toy"/>
    <x v="0"/>
    <n v="5"/>
    <s v="Clever, Energetic, Friendly, Outgoing, Playful, Responsive, Intelligent"/>
    <n v="500"/>
    <n v="37"/>
    <n v="3"/>
    <m/>
    <m/>
    <m/>
    <n v="71"/>
    <n v="80"/>
    <n v="80"/>
  </r>
  <r>
    <s v="Mountain Cur"/>
    <m/>
    <s v="Working"/>
    <x v="8"/>
    <n v="20"/>
    <s v="Intelligent, Protective"/>
    <n v="400"/>
    <m/>
    <n v="6"/>
    <m/>
    <m/>
    <m/>
    <m/>
    <n v="134"/>
    <n v="134"/>
  </r>
  <r>
    <s v="Mountain Dog"/>
    <m/>
    <s v="Working"/>
    <x v="4"/>
    <n v="44"/>
    <s v="Affectionate, Faithful, Intelligent, Loyal"/>
    <n v="900"/>
    <n v="22"/>
    <n v="5"/>
    <m/>
    <m/>
    <m/>
    <n v="25"/>
    <n v="75"/>
    <n v="75"/>
  </r>
  <r>
    <s v="Munsterlander"/>
    <m/>
    <s v="Sporting"/>
    <x v="7"/>
    <n v="20"/>
    <s v="Intelligent, Trainable, Attentive, Mischevious"/>
    <n v="1500"/>
    <m/>
    <n v="3"/>
    <m/>
    <m/>
    <m/>
    <m/>
    <n v="325"/>
    <n v="325"/>
  </r>
  <r>
    <s v="Neapolitan Mastiff"/>
    <m/>
    <s v="Working"/>
    <x v="4"/>
    <n v="60"/>
    <s v="Protective, Dominant, Fearless, Obedient, Stubborn, Trainable"/>
    <n v="1750"/>
    <m/>
    <n v="6"/>
    <m/>
    <n v="1"/>
    <m/>
    <n v="107"/>
    <n v="74"/>
    <n v="74"/>
  </r>
  <r>
    <s v="New Guinea Singing Dog"/>
    <m/>
    <s v="Southern"/>
    <x v="9"/>
    <n v="11"/>
    <s v="Active, Affectionate, Alert, Gentle, Lively"/>
    <n v="3000"/>
    <m/>
    <n v="3"/>
    <m/>
    <m/>
    <m/>
    <m/>
    <n v="45"/>
    <n v="45"/>
  </r>
  <r>
    <s v="Newfoundland Dog"/>
    <s v="Newfoundland"/>
    <s v="Working"/>
    <x v="4"/>
    <n v="65"/>
    <s v="Cheerful, Courageous, Intelligent, Loyal, Social, Sweet, Gentle"/>
    <n v="1750"/>
    <n v="34"/>
    <n v="5"/>
    <m/>
    <m/>
    <m/>
    <n v="36"/>
    <n v="22"/>
    <n v="22"/>
  </r>
  <r>
    <s v="Norfolk Terrier"/>
    <m/>
    <s v="Terrier"/>
    <x v="3"/>
    <n v="5"/>
    <s v="Companionable, Fearless, Happy, Lovable, Self-confident, Spirited, Intelligent"/>
    <n v="2250"/>
    <n v="56"/>
    <n v="3"/>
    <m/>
    <m/>
    <m/>
    <n v="128"/>
    <n v="14"/>
    <n v="14"/>
  </r>
  <r>
    <s v="Norwegian Buhund"/>
    <m/>
    <s v="Herding"/>
    <x v="6"/>
    <n v="16"/>
    <s v="Agile, Courageous, Energetic, Friendly, Fun-loving"/>
    <n v="900"/>
    <m/>
    <n v="4"/>
    <m/>
    <m/>
    <m/>
    <n v="170"/>
    <n v="12"/>
    <n v="12"/>
  </r>
  <r>
    <s v="Norwegian Elkhound"/>
    <m/>
    <s v="Hound"/>
    <x v="6"/>
    <n v="26"/>
    <s v="Alert, Bold, Hardy, Loyal, Playful, Strong-willed, Intelligent"/>
    <n v="600"/>
    <n v="36"/>
    <n v="6"/>
    <m/>
    <m/>
    <m/>
    <n v="91"/>
    <n v="110"/>
    <n v="110"/>
  </r>
  <r>
    <s v="Norwegian Lundehund"/>
    <m/>
    <s v="Non Sporting"/>
    <x v="6"/>
    <n v="8"/>
    <s v="Alert, Energetic, Loyal, Protective"/>
    <n v="500"/>
    <m/>
    <n v="4"/>
    <m/>
    <m/>
    <m/>
    <n v="190"/>
    <n v="153"/>
    <n v="153"/>
  </r>
  <r>
    <s v="Norwich Terrier"/>
    <m/>
    <s v="Terrier"/>
    <x v="3"/>
    <n v="5"/>
    <s v="Affectionate, Energetic, Hardy, Intelligent, Sensitive"/>
    <n v="1700"/>
    <n v="38"/>
    <n v="3"/>
    <m/>
    <m/>
    <m/>
    <n v="105"/>
    <n v="89"/>
    <n v="89"/>
  </r>
  <r>
    <s v="Nova Scotia Duck-Tolling Retriever"/>
    <m/>
    <s v="Sporting"/>
    <x v="10"/>
    <n v="20"/>
    <s v="Affectionate, Alert, Courageous, Energetic, Gentle, Playful, Responsive"/>
    <n v="1900"/>
    <m/>
    <n v="5"/>
    <m/>
    <m/>
    <m/>
    <n v="89"/>
    <n v="76"/>
    <n v="76"/>
  </r>
  <r>
    <s v="Old English Sheepdog"/>
    <m/>
    <s v="Herding"/>
    <x v="5"/>
    <n v="39"/>
    <s v="Adaptable, Bubbly, Intelligent, Loving, Playful, Sociable, Protective"/>
    <n v="1350"/>
    <n v="63"/>
    <n v="4"/>
    <m/>
    <m/>
    <m/>
    <n v="70"/>
    <n v="53"/>
    <n v="53"/>
  </r>
  <r>
    <s v="Otterhound"/>
    <m/>
    <s v="Hound"/>
    <x v="8"/>
    <n v="41"/>
    <s v="Amiable, Boisterous, Even-tempered"/>
    <n v="550"/>
    <n v="46"/>
    <n v="2"/>
    <m/>
    <m/>
    <m/>
    <n v="186"/>
    <n v="49"/>
    <n v="49"/>
  </r>
  <r>
    <s v="Papillon"/>
    <m/>
    <s v="Toy"/>
    <x v="0"/>
    <n v="5"/>
    <s v="Alert, Energetic, Friendly, Happy, Hardy, Intelligent"/>
    <n v="500"/>
    <n v="8"/>
    <n v="3"/>
    <m/>
    <m/>
    <m/>
    <n v="53"/>
    <n v="22"/>
    <n v="22"/>
  </r>
  <r>
    <s v="Patterdale Terrier (Fell Terrier)"/>
    <m/>
    <s v="Terrier"/>
    <x v="3"/>
    <n v="6"/>
    <s v="Bold, Confident, Energetic, Friendly, Inquisitive, Intelligent"/>
    <n v="600"/>
    <m/>
    <n v="3"/>
    <m/>
    <m/>
    <m/>
    <m/>
    <n v="27"/>
    <n v="27"/>
  </r>
  <r>
    <s v="Pekingese"/>
    <m/>
    <s v="Toy"/>
    <x v="0"/>
    <n v="4"/>
    <s v="Affectionate, Aggressive, Good-natured, Intelligent, Opinionated, Stubborn"/>
    <n v="700"/>
    <n v="73"/>
    <n v="3"/>
    <m/>
    <m/>
    <m/>
    <n v="88"/>
    <n v="26"/>
    <n v="26"/>
  </r>
  <r>
    <s v="Peruvian Inca Orchid"/>
    <m/>
    <s v="Hound"/>
    <x v="1"/>
    <n v="10"/>
    <s v="Affectionate, Alert, Intelligent, Lively, Noble, Protective"/>
    <n v="500"/>
    <m/>
    <n v="4"/>
    <m/>
    <m/>
    <m/>
    <m/>
    <n v="14"/>
    <n v="14"/>
  </r>
  <r>
    <s v="Petit Basset Griffon Vendeen"/>
    <m/>
    <s v="Hound"/>
    <x v="8"/>
    <n v="16"/>
    <s v="Active, Extroverted, Friendly, Happy, Independent, Lively, Intelligent"/>
    <n v="1400"/>
    <n v="62"/>
    <n v="3"/>
    <m/>
    <m/>
    <m/>
    <n v="160"/>
    <n v="21"/>
    <n v="21"/>
  </r>
  <r>
    <s v="Pharaoh Hound"/>
    <m/>
    <s v="Hound"/>
    <x v="1"/>
    <n v="23"/>
    <s v="Active, Affectionate, Intelligent, Playful, Sociable, Trainable"/>
    <n v="1900"/>
    <n v="37"/>
    <n v="2"/>
    <m/>
    <m/>
    <m/>
    <n v="174"/>
    <n v="341"/>
    <n v="341"/>
  </r>
  <r>
    <s v="Pit Bull Terrier"/>
    <m/>
    <s v="Terrier"/>
    <x v="3"/>
    <n v="23"/>
    <s v="Affectionate, Aggressive, Clownish, Courageous, Friendly, Intelligent, Loyal, Obedient, Strong-willed, Stubborn"/>
    <n v="600"/>
    <m/>
    <n v="3"/>
    <m/>
    <n v="1"/>
    <m/>
    <m/>
    <n v="205"/>
    <n v="205"/>
  </r>
  <r>
    <s v="Plott Hound"/>
    <m/>
    <s v="Hound"/>
    <x v="8"/>
    <n v="26"/>
    <s v="Alert, Bold, Courageous, Loyal"/>
    <n v="400"/>
    <m/>
    <n v="3"/>
    <m/>
    <m/>
    <m/>
    <n v="166"/>
    <n v="76"/>
    <n v="76"/>
  </r>
  <r>
    <s v="Podengo Portugueso"/>
    <m/>
    <s v="Hound"/>
    <x v="1"/>
    <n v="5"/>
    <s v="Active, Companionable, Friendly, Hardy, Lively, Loyal"/>
    <n v="900"/>
    <m/>
    <n v="3"/>
    <m/>
    <m/>
    <m/>
    <n v="159"/>
    <n v="371"/>
    <n v="371"/>
  </r>
  <r>
    <s v="Pointer"/>
    <m/>
    <s v="Sporting"/>
    <x v="7"/>
    <n v="25"/>
    <s v="Active, Affectionate, Amiable, Even-tempered, Kind, Loyal, Intelligent"/>
    <n v="450"/>
    <n v="43"/>
    <n v="4"/>
    <m/>
    <m/>
    <m/>
    <n v="113"/>
    <n v="235"/>
    <n v="235"/>
  </r>
  <r>
    <s v="Polish Lowland Sheepdog"/>
    <m/>
    <s v="Herding"/>
    <x v="5"/>
    <n v="19"/>
    <s v="Agile, Even-tempered, Lively, Perceptive, Self-confident"/>
    <n v="1750"/>
    <m/>
    <n v="6"/>
    <m/>
    <m/>
    <m/>
    <n v="176"/>
    <n v="79"/>
    <n v="79"/>
  </r>
  <r>
    <s v="Pomeranian"/>
    <m/>
    <s v="Toy"/>
    <x v="0"/>
    <n v="2"/>
    <s v="Active, Extroverted, Friendly, Intelligent, Lively, Playful, Sociable"/>
    <n v="700"/>
    <n v="23"/>
    <n v="3"/>
    <m/>
    <m/>
    <n v="4"/>
    <n v="22"/>
    <n v="10"/>
    <n v="10"/>
  </r>
  <r>
    <s v="Poodle"/>
    <m/>
    <s v="Non Sporting"/>
    <x v="7"/>
    <n v="26"/>
    <s v="Active, Alert, Faithful, Instinctual, Intelligent, Trainable"/>
    <n v="1250"/>
    <n v="2"/>
    <n v="4"/>
    <m/>
    <m/>
    <n v="1"/>
    <n v="7"/>
    <n v="12"/>
    <n v="12"/>
  </r>
  <r>
    <s v="Standard Poodle"/>
    <m/>
    <s v="Non Sporting"/>
    <x v="7"/>
    <n v="26"/>
    <s v="Active, Alert, Faithful, Instinctual, Intelligent, Trainable"/>
    <n v="1250"/>
    <n v="2"/>
    <n v="4"/>
    <m/>
    <m/>
    <m/>
    <n v="7"/>
    <n v="54"/>
    <n v="54"/>
  </r>
  <r>
    <s v="Miniature Poodle"/>
    <m/>
    <s v="Toy"/>
    <x v="0"/>
    <n v="8"/>
    <s v="Active, Alert, Faithful, Instinctual, Intelligent, Trainable"/>
    <n v="1250"/>
    <n v="2"/>
    <n v="4"/>
    <m/>
    <m/>
    <m/>
    <m/>
    <n v="345"/>
    <n v="345"/>
  </r>
  <r>
    <s v="Toy Poodle"/>
    <m/>
    <s v="Toy"/>
    <x v="0"/>
    <n v="4"/>
    <s v="Active, Alert, Faithful, Instinctual, Intelligent, Trainable"/>
    <n v="1250"/>
    <n v="2"/>
    <n v="4"/>
    <m/>
    <m/>
    <m/>
    <m/>
    <n v="521"/>
    <n v="521"/>
  </r>
  <r>
    <s v="Portuguese Water Dog"/>
    <m/>
    <s v="Working"/>
    <x v="7"/>
    <n v="22"/>
    <s v="Brave, Docile, Impetuous, Intelligent, Obedient, Quarrelsome"/>
    <n v="2650"/>
    <m/>
    <n v="4"/>
    <m/>
    <m/>
    <m/>
    <n v="54"/>
    <n v="526"/>
    <n v="526"/>
  </r>
  <r>
    <s v="Presa Canario"/>
    <m/>
    <s v="Working"/>
    <x v="4"/>
    <n v="40"/>
    <s v="Calm, Dominant, Gentle, Strong-willed, Suspicious"/>
    <n v="2100"/>
    <m/>
    <n v="6"/>
    <n v="1"/>
    <m/>
    <m/>
    <m/>
    <n v="72"/>
    <n v="72"/>
  </r>
  <r>
    <s v="Pug"/>
    <m/>
    <s v="Toy"/>
    <x v="0"/>
    <n v="8"/>
    <s v="Affectionate, Cheerful, Courageous, Gentle, Intelligent, Friendly, Outgoing, Playful, Loyal"/>
    <n v="400"/>
    <n v="57"/>
    <n v="3"/>
    <m/>
    <m/>
    <m/>
    <n v="31"/>
    <n v="28"/>
    <n v="28"/>
  </r>
  <r>
    <s v="Puli"/>
    <m/>
    <s v="Herding"/>
    <x v="5"/>
    <n v="14"/>
    <s v="Agile, Energetic, Faithful, Intelligent, Loyal, Obedient"/>
    <n v="1100"/>
    <n v="27"/>
    <n v="5"/>
    <m/>
    <m/>
    <m/>
    <n v="142"/>
    <n v="96"/>
    <n v="96"/>
  </r>
  <r>
    <s v="Pumi"/>
    <m/>
    <s v="Herding"/>
    <x v="5"/>
    <n v="13"/>
    <s v="Active, Intelligent, Lively, Protective, Reserved, Vocal"/>
    <n v="2750"/>
    <m/>
    <n v="3"/>
    <m/>
    <m/>
    <m/>
    <n v="162"/>
    <n v="65"/>
    <n v="65"/>
  </r>
  <r>
    <s v="Rat Terrier"/>
    <m/>
    <s v="Terrier"/>
    <x v="3"/>
    <n v="11"/>
    <s v="Affectioante, Alert, Inquisitive, Lively, Loving"/>
    <n v="400"/>
    <m/>
    <n v="3"/>
    <m/>
    <m/>
    <m/>
    <n v="97"/>
    <n v="14"/>
    <n v="14"/>
  </r>
  <r>
    <s v="Redbone Coonhound"/>
    <s v="Redbone"/>
    <s v="Hound"/>
    <x v="8"/>
    <n v="28"/>
    <s v="Affectionate, Companionable, Energetic, Familial, Independent, Unflappable"/>
    <n v="700"/>
    <m/>
    <n v="1"/>
    <m/>
    <m/>
    <m/>
    <n v="139"/>
    <n v="15"/>
    <n v="15"/>
  </r>
  <r>
    <s v="Retriever"/>
    <m/>
    <s v="Sporting"/>
    <x v="7"/>
    <n v="32"/>
    <s v="Confident, Friendly, Intelligent, Kind, Reliable, Trustworthy"/>
    <n v="1500"/>
    <n v="4"/>
    <n v="3"/>
    <m/>
    <m/>
    <m/>
    <n v="3"/>
    <n v="119"/>
    <n v="119"/>
  </r>
  <r>
    <s v="Rhodesian Ridgeback"/>
    <m/>
    <s v="Hound"/>
    <x v="1"/>
    <n v="39"/>
    <s v="Dignified, Intelligent, Loyal, Mischevious, Sensitive, Strong-willed"/>
    <n v="1150"/>
    <n v="52"/>
    <n v="3"/>
    <m/>
    <m/>
    <m/>
    <n v="41"/>
    <n v="230"/>
    <n v="230"/>
  </r>
  <r>
    <s v="Rottweiler"/>
    <m/>
    <s v="Working"/>
    <x v="4"/>
    <n v="51"/>
    <s v="Alert, Courageous, Fearless, Good-natured, Independent, Intelligent, Loyal, Protective"/>
    <n v="1600"/>
    <n v="9"/>
    <n v="6"/>
    <n v="1"/>
    <m/>
    <n v="7"/>
    <n v="8"/>
    <n v="121"/>
    <n v="121"/>
  </r>
  <r>
    <s v="Saint Bernard"/>
    <m/>
    <s v="Working"/>
    <x v="4"/>
    <n v="66"/>
    <s v="Friendly, Gentle, Independent, Intelligent, Outgoing, Quiet, Social"/>
    <n v="1650"/>
    <n v="65"/>
    <n v="3"/>
    <m/>
    <m/>
    <m/>
    <n v="48"/>
    <n v="147"/>
    <n v="147"/>
  </r>
  <r>
    <s v="Saluki"/>
    <m/>
    <s v="Hound"/>
    <x v="1"/>
    <n v="21"/>
    <s v="Aloof, Intelligent, Quiet, Reserverd, Loyal"/>
    <n v="700"/>
    <n v="43"/>
    <n v="3"/>
    <m/>
    <m/>
    <m/>
    <n v="123"/>
    <n v="245"/>
    <n v="245"/>
  </r>
  <r>
    <s v="Samoyed"/>
    <m/>
    <s v="Working"/>
    <x v="6"/>
    <n v="26"/>
    <s v="Alert, Lively, Friendly, Intelligent, Playful, Sociable, Stubborn"/>
    <n v="1350"/>
    <n v="33"/>
    <n v="4"/>
    <m/>
    <m/>
    <m/>
    <n v="57"/>
    <n v="128"/>
    <n v="128"/>
  </r>
  <r>
    <s v="Sarplaninac"/>
    <m/>
    <s v="Working"/>
    <x v="4"/>
    <n v="33"/>
    <s v="Independent, Calm, Devoted, Intelligent, Protective, Reliable"/>
    <n v="900"/>
    <m/>
    <n v="5"/>
    <m/>
    <m/>
    <m/>
    <m/>
    <n v="27"/>
    <n v="27"/>
  </r>
  <r>
    <s v="Schipperke"/>
    <m/>
    <s v="Non Sporting"/>
    <x v="0"/>
    <n v="7"/>
    <s v="Agile, Confident, Curious, Faithful, Fearless, Independent, Intelligent"/>
    <n v="800"/>
    <n v="15"/>
    <n v="3"/>
    <m/>
    <m/>
    <m/>
    <n v="110"/>
    <n v="56"/>
    <n v="56"/>
  </r>
  <r>
    <s v="Miniature Schnauzer"/>
    <m/>
    <s v="Terrier"/>
    <x v="0"/>
    <n v="8"/>
    <s v="Devoted, Good-natured, Intelligent, Lively, Playful, Trainable"/>
    <n v="800"/>
    <m/>
    <m/>
    <m/>
    <m/>
    <m/>
    <n v="18"/>
    <n v="89"/>
    <n v="89"/>
  </r>
  <r>
    <s v="Schnauzer"/>
    <s v="Standard Schnauzer"/>
    <s v="Working"/>
    <x v="5"/>
    <n v="17"/>
    <s v="Devoted, Good-natured, Intelligent, Lively, Playful, Trainable"/>
    <n v="1350"/>
    <n v="18"/>
    <n v="4"/>
    <m/>
    <m/>
    <n v="3"/>
    <n v="90"/>
    <n v="95"/>
    <n v="95"/>
  </r>
  <r>
    <s v="Giant Schnauzer"/>
    <m/>
    <s v="Working"/>
    <x v="5"/>
    <n v="31"/>
    <s v="Devoted, Good-natured, Intelligent, Lively, Playful, Trainable"/>
    <n v="1250"/>
    <m/>
    <m/>
    <m/>
    <m/>
    <m/>
    <n v="80"/>
    <n v="39"/>
    <n v="61"/>
  </r>
  <r>
    <s v="Scottish Deerhound"/>
    <m/>
    <s v="Hound"/>
    <x v="1"/>
    <n v="42"/>
    <s v="Dignified, Docile, Friendly, Gentle, Polite, Quiet"/>
    <n v="1100"/>
    <n v="47"/>
    <n v="1"/>
    <m/>
    <m/>
    <m/>
    <n v="168"/>
    <n v="72"/>
    <n v="72"/>
  </r>
  <r>
    <s v="Scottish Terrier Scottie"/>
    <s v="Scotch Terrier"/>
    <s v="Terrier"/>
    <x v="3"/>
    <n v="9"/>
    <s v="Independent, Fiesty, Alert, Playful, Quick, Self-assured"/>
    <n v="900"/>
    <n v="65"/>
    <n v="3"/>
    <m/>
    <m/>
    <m/>
    <n v="58"/>
    <n v="26"/>
    <n v="26"/>
  </r>
  <r>
    <s v="Sealyham Terrier"/>
    <m/>
    <s v="Terrier"/>
    <x v="3"/>
    <n v="9"/>
    <s v="Alert, Calm, Even-tempered, Fearless, Friendly, Intelligent"/>
    <n v="900"/>
    <n v="56"/>
    <n v="3"/>
    <m/>
    <m/>
    <m/>
    <n v="150"/>
    <n v="38"/>
    <n v="38"/>
  </r>
  <r>
    <s v="Setter"/>
    <m/>
    <s v="Sporting"/>
    <x v="7"/>
    <n v="30"/>
    <s v="Strong-willed, Mischevious, Gentle, Energetic, Intelligent"/>
    <n v="500"/>
    <n v="37"/>
    <n v="3"/>
    <m/>
    <m/>
    <m/>
    <n v="95"/>
    <n v="77"/>
    <n v="77"/>
  </r>
  <r>
    <s v="Shar Pei"/>
    <m/>
    <s v="Non Sporting"/>
    <x v="6"/>
    <n v="22"/>
    <s v="Affectionate, Devoted, Independent, Loving, Reserved, Suspicious"/>
    <n v="1100"/>
    <n v="51"/>
    <n v="3"/>
    <m/>
    <m/>
    <m/>
    <n v="64"/>
    <n v="11"/>
    <n v="11"/>
  </r>
  <r>
    <s v="Sheep Dog"/>
    <m/>
    <s v="Herding"/>
    <x v="5"/>
    <n v="39"/>
    <s v="Adaptable, Bubbly, Intelligent, Loving, Playful, Sociable, Protective"/>
    <n v="1350"/>
    <n v="63"/>
    <n v="4"/>
    <m/>
    <m/>
    <m/>
    <n v="70"/>
    <n v="101"/>
    <n v="101"/>
  </r>
  <r>
    <s v="Shepherd"/>
    <m/>
    <s v="Herding"/>
    <x v="5"/>
    <n v="35"/>
    <s v="Alert, Confident, Courageous, Curious, Intelligent, Loyal, Obedient, Watchful"/>
    <n v="1400"/>
    <n v="3"/>
    <n v="6"/>
    <m/>
    <m/>
    <m/>
    <n v="2"/>
    <n v="555"/>
    <n v="555"/>
  </r>
  <r>
    <s v="Shetland Sheepdog Sheltie"/>
    <s v="Shetland Sheepdog"/>
    <s v="Herding"/>
    <x v="5"/>
    <n v="9"/>
    <s v="Affectionate, Friendly, Gentle, Intelligent, Lively, Playful, Responsive"/>
    <n v="900"/>
    <n v="6"/>
    <n v="4"/>
    <m/>
    <m/>
    <m/>
    <n v="24"/>
    <n v="542"/>
    <n v="542"/>
  </r>
  <r>
    <s v="Shiba Inu"/>
    <m/>
    <s v="Non Sporting"/>
    <x v="0"/>
    <n v="10"/>
    <s v="Alert, Charming, Confident, Faithful, Fearless, Keen, Outgoing"/>
    <n v="900"/>
    <m/>
    <n v="4"/>
    <m/>
    <m/>
    <m/>
    <n v="45"/>
    <n v="123"/>
    <n v="123"/>
  </r>
  <r>
    <s v="Shih Tzu"/>
    <m/>
    <s v="Toy"/>
    <x v="0"/>
    <n v="6"/>
    <s v="Active, Courageous, Friendly, Gentle, Happy, Intelligent, Lively, Outgoing, Playful"/>
    <n v="1000"/>
    <n v="70"/>
    <n v="3"/>
    <m/>
    <m/>
    <n v="2"/>
    <n v="20"/>
    <n v="105"/>
    <n v="105"/>
  </r>
  <r>
    <s v="Siberian Husky"/>
    <m/>
    <s v="Working"/>
    <x v="6"/>
    <n v="24"/>
    <s v="Alert, Friendly, Gentle, Intelligent, Outgoing"/>
    <n v="950"/>
    <n v="45"/>
    <n v="1"/>
    <m/>
    <m/>
    <n v="5"/>
    <n v="12"/>
    <n v="107"/>
    <n v="107"/>
  </r>
  <r>
    <s v="Silky Terrier"/>
    <m/>
    <s v="Toy"/>
    <x v="3"/>
    <n v="5"/>
    <s v="Alert, Friendly, Inquisitive, Joyful, Quick, Responsive, Intelligent"/>
    <n v="700"/>
    <n v="37"/>
    <n v="3"/>
    <m/>
    <m/>
    <m/>
    <n v="106"/>
    <n v="891"/>
    <n v="891"/>
  </r>
  <r>
    <s v="Skye Terrier"/>
    <m/>
    <s v="Terrier"/>
    <x v="3"/>
    <n v="17"/>
    <s v="Loyal, Fearless, Friendly, Good-tempered, Intelligent"/>
    <n v="800"/>
    <n v="55"/>
    <n v="4"/>
    <m/>
    <m/>
    <m/>
    <n v="172"/>
    <n v="397"/>
    <n v="397"/>
  </r>
  <r>
    <s v="Sloughi"/>
    <m/>
    <s v="Hound"/>
    <x v="1"/>
    <n v="28"/>
    <s v="Alert, Faithful, Intelligent, Sensitive, Independent, Playful, Sweet"/>
    <n v="900"/>
    <m/>
    <n v="5"/>
    <m/>
    <m/>
    <m/>
    <n v="188"/>
    <n v="675"/>
    <n v="675"/>
  </r>
  <r>
    <s v="Smooth Fox Terrier"/>
    <m/>
    <s v="Terrier"/>
    <x v="3"/>
    <n v="8"/>
    <s v="Active, Affectionate, Alert, Fearless, Intelligent, Playful"/>
    <n v="850"/>
    <n v="40"/>
    <n v="3"/>
    <m/>
    <m/>
    <m/>
    <n v="122"/>
    <n v="393"/>
    <n v="393"/>
  </r>
  <r>
    <s v="South Russian Ovtcharka"/>
    <m/>
    <s v="Herding"/>
    <x v="5"/>
    <n v="49"/>
    <s v="Active, Balanced, Courageous, Lively, Nervous"/>
    <n v="900"/>
    <m/>
    <n v="4"/>
    <m/>
    <m/>
    <m/>
    <m/>
    <n v="215"/>
    <n v="215"/>
  </r>
  <r>
    <s v="Spaniel"/>
    <m/>
    <s v="Sporting"/>
    <x v="7"/>
    <n v="10"/>
    <s v="Even Tempered, Joyful, Merry, Outgoing, Intelligent, Sociable, Trusting"/>
    <n v="700"/>
    <n v="20"/>
    <n v="3"/>
    <m/>
    <m/>
    <m/>
    <n v="29"/>
    <n v="107"/>
    <n v="107"/>
  </r>
  <r>
    <s v="Spitz"/>
    <m/>
    <s v="Non Sporting"/>
    <x v="6"/>
    <n v="8"/>
    <s v="Alert, Energetic, Friendly, Independent, Intelligent, Protective"/>
    <n v="700"/>
    <m/>
    <n v="4"/>
    <m/>
    <m/>
    <m/>
    <n v="118"/>
    <n v="110"/>
    <n v="110"/>
  </r>
  <r>
    <s v="Staffordshire Bull Terrier"/>
    <s v="Staffordshire Bullterrier"/>
    <s v="Terrier"/>
    <x v="3"/>
    <n v="14"/>
    <s v="Affectionate, Bold, Courageous, Fearless, Intelligent, Reliable"/>
    <n v="1750"/>
    <n v="49"/>
    <n v="3"/>
    <m/>
    <n v="1"/>
    <m/>
    <n v="82"/>
    <n v="25"/>
    <n v="25"/>
  </r>
  <r>
    <s v="Sussex Spaniel"/>
    <m/>
    <s v="Sporting"/>
    <x v="7"/>
    <n v="19"/>
    <s v="Calm, Cheerful, Companionable, Devoted, Friendly, Sociable"/>
    <n v="2500"/>
    <m/>
    <n v="3"/>
    <m/>
    <m/>
    <m/>
    <n v="161"/>
    <n v="87"/>
    <n v="87"/>
  </r>
  <r>
    <s v="Swedish Vallhund"/>
    <m/>
    <s v="Herding"/>
    <x v="5"/>
    <n v="13"/>
    <s v="Alert, Energetic, Fearless, Friendly, Watchful"/>
    <n v="800"/>
    <m/>
    <n v="4"/>
    <m/>
    <m/>
    <m/>
    <n v="149"/>
    <n v="45"/>
    <n v="45"/>
  </r>
  <r>
    <s v="Terrier"/>
    <m/>
    <s v="Terrier"/>
    <x v="3"/>
    <n v="8"/>
    <s v="Affectionate, Alert, Courageous, Intelligent, Friendly, Hardy, Independent"/>
    <n v="1050"/>
    <n v="47"/>
    <n v="3"/>
    <m/>
    <m/>
    <m/>
    <n v="42"/>
    <n v="55"/>
    <n v="55"/>
  </r>
  <r>
    <s v="Thai Ridgeback"/>
    <m/>
    <s v="Hound"/>
    <x v="1"/>
    <n v="28"/>
    <s v="Familial, Independent, Loving, Loyal, Protective"/>
    <n v="700"/>
    <m/>
    <n v="2"/>
    <m/>
    <m/>
    <m/>
    <m/>
    <n v="23"/>
    <n v="23"/>
  </r>
  <r>
    <s v="Tibetan Mastiff"/>
    <m/>
    <s v="Working"/>
    <x v="4"/>
    <n v="71"/>
    <s v="Aloof, Protective, Strong-willed, Stubborn, Courageous, Loyal"/>
    <n v="3000"/>
    <m/>
    <n v="6"/>
    <m/>
    <m/>
    <m/>
    <n v="153"/>
    <n v="45"/>
    <n v="45"/>
  </r>
  <r>
    <s v="Tibetan Spaniel"/>
    <m/>
    <s v="Non Sporting"/>
    <x v="0"/>
    <n v="6"/>
    <s v="Intelligent, Assertive, Aloof, Happy, Independent, Willful"/>
    <n v="900"/>
    <n v="46"/>
    <n v="4"/>
    <m/>
    <m/>
    <m/>
    <n v="121"/>
    <n v="101"/>
    <n v="101"/>
  </r>
  <r>
    <s v="Tibetan Terrier"/>
    <m/>
    <s v="Non Sporting"/>
    <x v="0"/>
    <n v="10"/>
    <s v="Affectionate, Amiable, Energetic, Gentle, Reserved, Sensitive, Intelligent"/>
    <n v="1600"/>
    <n v="62"/>
    <n v="3"/>
    <m/>
    <m/>
    <m/>
    <n v="101"/>
    <n v="115"/>
    <n v="115"/>
  </r>
  <r>
    <s v="Tosa Inu"/>
    <m/>
    <s v="Working"/>
    <x v="4"/>
    <n v="65"/>
    <s v="Aggressive, Brave, Fearless, Intelligent, Sensitive, Suspicious"/>
    <n v="700"/>
    <m/>
    <n v="6"/>
    <m/>
    <n v="1"/>
    <m/>
    <m/>
    <n v="309"/>
    <n v="309"/>
  </r>
  <r>
    <s v="Toy Fox Terrier"/>
    <s v="Toy Terrier"/>
    <s v="Toy"/>
    <x v="3"/>
    <n v="2"/>
    <s v="Alert, Friendly, Intelligent, Loyal, Playful, Spirited"/>
    <n v="500"/>
    <m/>
    <n v="2"/>
    <m/>
    <m/>
    <m/>
    <n v="112"/>
    <n v="250"/>
    <n v="250"/>
  </r>
  <r>
    <s v="Treeing Walker Coonhound"/>
    <s v="Walker Hound"/>
    <s v="Hound"/>
    <x v="8"/>
    <n v="28"/>
    <s v="Affectionate, Clever, Confident, Loving, Trainable"/>
    <n v="500"/>
    <m/>
    <n v="3"/>
    <m/>
    <m/>
    <m/>
    <n v="131"/>
    <n v="301"/>
    <n v="301"/>
  </r>
  <r>
    <s v="Vizsla"/>
    <m/>
    <s v="Sporting"/>
    <x v="7"/>
    <n v="21"/>
    <s v="Affectionate, Cheerful, Energetic, Gentle, Intelligent, Playful, Protective, Quiet"/>
    <n v="1000"/>
    <m/>
    <n v="3"/>
    <m/>
    <m/>
    <m/>
    <n v="30"/>
    <n v="256"/>
    <n v="256"/>
  </r>
  <r>
    <s v="Weimaraner"/>
    <m/>
    <s v="Sporting"/>
    <x v="7"/>
    <n v="29"/>
    <s v="Alert, Aloof, Energetic, Fast, Intelligent, Powerful, Steady, Stubborn, Social"/>
    <n v="1750"/>
    <n v="21"/>
    <n v="3"/>
    <m/>
    <m/>
    <m/>
    <n v="34"/>
    <n v="22"/>
    <n v="22"/>
  </r>
  <r>
    <s v="Welsh Corgi"/>
    <m/>
    <s v="Herding"/>
    <x v="5"/>
    <n v="13"/>
    <s v="Active, Affectionate, Alert, Companionable, Devoted, Gentle, Intelligent"/>
    <n v="1100"/>
    <n v="26"/>
    <n v="4"/>
    <m/>
    <m/>
    <m/>
    <n v="68"/>
    <n v="21"/>
    <n v="21"/>
  </r>
  <r>
    <s v="Cardigan"/>
    <m/>
    <s v="Herding"/>
    <x v="5"/>
    <n v="16"/>
    <s v="Active, Affectionate, Alert, Companionable, Devoted, Gentle, Intelligent"/>
    <n v="1100"/>
    <n v="26"/>
    <n v="4"/>
    <m/>
    <m/>
    <m/>
    <n v="68"/>
    <n v="14"/>
    <n v="14"/>
  </r>
  <r>
    <s v="Pembroke"/>
    <m/>
    <s v="Herding"/>
    <x v="5"/>
    <n v="12"/>
    <s v="Active, Affectionate, Alert, Companionable, Devoted, Gentle, Intelligent"/>
    <n v="1100"/>
    <n v="26"/>
    <n v="4"/>
    <m/>
    <m/>
    <m/>
    <n v="68"/>
    <n v="14"/>
    <n v="14"/>
  </r>
  <r>
    <s v="Welsh Springer Spaniel"/>
    <m/>
    <s v="Sporting"/>
    <x v="7"/>
    <n v="18"/>
    <s v="Affectionate, Loyal, Active, Friendly, Playful, Stubborn, Intelligent"/>
    <n v="1300"/>
    <n v="31"/>
    <n v="4"/>
    <m/>
    <m/>
    <m/>
    <n v="133"/>
    <n v="21"/>
    <n v="21"/>
  </r>
  <r>
    <s v="Welsh Terrier"/>
    <m/>
    <s v="Terrier"/>
    <x v="3"/>
    <n v="9"/>
    <s v="Alert, Friendly, Intelligent, Spirited, Independent, Loving"/>
    <n v="1000"/>
    <n v="53"/>
    <n v="3"/>
    <m/>
    <m/>
    <m/>
    <n v="109"/>
    <n v="341"/>
    <n v="341"/>
  </r>
  <r>
    <s v="West Highland White Terrier Westie"/>
    <s v="West Highland White Terrier"/>
    <s v="Terrier"/>
    <x v="3"/>
    <n v="8"/>
    <s v="Affectionate, Alert, Courageous, Intelligent, Friendly, Hardy, Independent"/>
    <n v="1050"/>
    <n v="47"/>
    <n v="3"/>
    <m/>
    <m/>
    <m/>
    <n v="42"/>
    <n v="205"/>
    <n v="205"/>
  </r>
  <r>
    <s v="Wheaten Terrier"/>
    <s v="Soft Coated Wheaten Terrier"/>
    <s v="Terrier"/>
    <x v="3"/>
    <n v="18"/>
    <s v="Affectionate, Energetic, Faithful, Intelligent, Playful, Spirited"/>
    <n v="900"/>
    <n v="40"/>
    <n v="4"/>
    <m/>
    <m/>
    <m/>
    <n v="49"/>
    <n v="76"/>
    <n v="76"/>
  </r>
  <r>
    <s v="Whippet"/>
    <m/>
    <s v="Hound"/>
    <x v="1"/>
    <n v="16"/>
    <s v="Affectionate, Friendly, Gentle, Intelligent, Lively, Quiet"/>
    <n v="1000"/>
    <n v="51"/>
    <n v="3"/>
    <m/>
    <m/>
    <m/>
    <n v="61"/>
    <n v="371"/>
    <n v="371"/>
  </r>
  <r>
    <s v="White German Shepherd"/>
    <m/>
    <s v="Herding"/>
    <x v="5"/>
    <n v="35"/>
    <s v="Alert, Confident, Courageous, Curious, Intelligent, Loyal, Obedient, Watchful"/>
    <n v="1400"/>
    <n v="3"/>
    <n v="6"/>
    <m/>
    <m/>
    <m/>
    <n v="2"/>
    <n v="38"/>
    <n v="38"/>
  </r>
  <r>
    <s v="Wire Fox Terrier"/>
    <s v="Wire Haired Fox Terrier"/>
    <s v="Terrier"/>
    <x v="3"/>
    <n v="7"/>
    <s v="Alert, Bold, Fearless, Friendly, Keen, Quick, Intelligent"/>
    <n v="900"/>
    <n v="51"/>
    <n v="3"/>
    <m/>
    <m/>
    <m/>
    <n v="99"/>
    <n v="76"/>
    <n v="76"/>
  </r>
  <r>
    <s v="Wire-haired Pointing Griffon"/>
    <m/>
    <s v="Sporting"/>
    <x v="7"/>
    <n v="25"/>
    <s v="Gentle, Loyal, Proud, Trainable, Vigilant, Intelligent"/>
    <n v="700"/>
    <n v="46"/>
    <n v="5"/>
    <m/>
    <m/>
    <m/>
    <n v="65"/>
    <n v="21"/>
    <n v="21"/>
  </r>
  <r>
    <s v="Wirehaired Terrier"/>
    <m/>
    <s v="Terrier"/>
    <x v="3"/>
    <n v="7"/>
    <s v="Alert, Bold, Fearless, Friendly, Keen, Quick, Intelligent"/>
    <n v="900"/>
    <n v="51"/>
    <n v="3"/>
    <m/>
    <m/>
    <m/>
    <n v="99"/>
    <n v="26"/>
    <n v="26"/>
  </r>
  <r>
    <s v="Xoloitzcuintle/Mexican Hairless"/>
    <s v="Mexican Hairless"/>
    <s v="Non Sporting"/>
    <x v="1"/>
    <n v="11"/>
    <s v="Aleret, Calm, Cheerful, Companionable, Loyal, Protective"/>
    <n v="700"/>
    <m/>
    <n v="3"/>
    <m/>
    <m/>
    <m/>
    <n v="143"/>
    <n v="90"/>
    <n v="90"/>
  </r>
  <r>
    <s v="Yellow Labrador Retriever"/>
    <m/>
    <s v="Sporting"/>
    <x v="7"/>
    <n v="32"/>
    <s v="Affectionate, Alert, Cheerful, Energetic, Friendly, Gentle, Intelligent, Loving, Loyal, Outgoing, Playful, Responsive, Social"/>
    <n v="1500"/>
    <n v="7"/>
    <n v="3"/>
    <m/>
    <m/>
    <m/>
    <n v="1"/>
    <n v="123"/>
    <n v="123"/>
  </r>
  <r>
    <s v="Yorkshire Terrier Yorkie"/>
    <s v="Yorkshire Terrier"/>
    <s v="Toy"/>
    <x v="0"/>
    <n v="3"/>
    <s v="Alert, Courageous, Energetic, Independent, Intelligent, Loyal, Playful"/>
    <n v="800"/>
    <n v="27"/>
    <n v="3"/>
    <m/>
    <m/>
    <m/>
    <n v="9"/>
    <n v="77"/>
    <n v="77"/>
  </r>
  <r>
    <s v="Mixed Breed"/>
    <m/>
    <m/>
    <x v="2"/>
    <m/>
    <m/>
    <m/>
    <m/>
    <m/>
    <m/>
    <m/>
    <m/>
    <m/>
    <n v="95"/>
    <n v="9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m/>
    <x v="0"/>
    <s v="Companion"/>
    <x v="0"/>
    <s v="Active, Adventurous, Curious, Fun-loving, Playful, Stubborn"/>
    <n v="1000"/>
    <n v="37"/>
    <n v="1"/>
    <m/>
    <m/>
    <x v="0"/>
    <x v="0"/>
    <n v="300"/>
    <n v="300"/>
    <x v="0"/>
  </r>
  <r>
    <x v="1"/>
    <m/>
    <x v="1"/>
    <s v="Sight"/>
    <x v="1"/>
    <s v="Aloof, Clownish, Dignified, Happy, Independent"/>
    <n v="2250"/>
    <n v="79"/>
    <n v="1"/>
    <m/>
    <m/>
    <x v="0"/>
    <x v="1"/>
    <n v="250"/>
    <n v="250"/>
    <x v="0"/>
  </r>
  <r>
    <x v="2"/>
    <m/>
    <x v="2"/>
    <m/>
    <x v="2"/>
    <s v="Wild"/>
    <m/>
    <m/>
    <m/>
    <m/>
    <m/>
    <x v="0"/>
    <x v="2"/>
    <n v="500"/>
    <n v="500"/>
    <x v="0"/>
  </r>
  <r>
    <x v="3"/>
    <s v="Airedale"/>
    <x v="3"/>
    <s v="Terrier"/>
    <x v="3"/>
    <s v="Alert, Confident, Courageous, Friendly, Intelligent, Outgoing"/>
    <n v="700"/>
    <n v="29"/>
    <n v="4"/>
    <m/>
    <m/>
    <x v="0"/>
    <x v="3"/>
    <n v="670"/>
    <n v="670"/>
    <x v="0"/>
  </r>
  <r>
    <x v="4"/>
    <m/>
    <x v="4"/>
    <s v="Guardian"/>
    <x v="4"/>
    <s v="Affectionate, Alert, Courageous, Independent, Intelligent, Loyal"/>
    <n v="600"/>
    <m/>
    <n v="5"/>
    <m/>
    <m/>
    <x v="0"/>
    <x v="2"/>
    <n v="293"/>
    <n v="293"/>
    <x v="0"/>
  </r>
  <r>
    <x v="5"/>
    <m/>
    <x v="4"/>
    <s v="Herding"/>
    <x v="5"/>
    <s v="Alert, Courageous, Dignified, Docile, Friendly, Intelligent, Responsive"/>
    <n v="1000"/>
    <n v="54"/>
    <n v="5"/>
    <m/>
    <n v="1"/>
    <x v="0"/>
    <x v="4"/>
    <n v="457"/>
    <n v="457"/>
    <x v="1"/>
  </r>
  <r>
    <x v="6"/>
    <s v="Malamute"/>
    <x v="4"/>
    <s v="Northern"/>
    <x v="6"/>
    <s v="Affectionate, Devoted, Dignified, Friendly, Loyal, Playful"/>
    <n v="1350"/>
    <n v="50"/>
    <n v="5"/>
    <m/>
    <m/>
    <x v="0"/>
    <x v="5"/>
    <n v="890"/>
    <n v="890"/>
    <x v="0"/>
  </r>
  <r>
    <x v="7"/>
    <m/>
    <x v="4"/>
    <s v="Guardian"/>
    <x v="7"/>
    <s v="Affectionate, Alert, Courageous, Energetic, Gentle, Loving, Out-going, Social"/>
    <n v="800"/>
    <m/>
    <n v="6"/>
    <m/>
    <n v="1"/>
    <x v="0"/>
    <x v="2"/>
    <n v="91"/>
    <n v="91"/>
    <x v="1"/>
  </r>
  <r>
    <x v="8"/>
    <m/>
    <x v="5"/>
    <s v="Northern"/>
    <x v="8"/>
    <s v="Alert, Energetic, Friendly, Independent, Intelligent, Protective"/>
    <n v="700"/>
    <m/>
    <n v="4"/>
    <m/>
    <m/>
    <x v="0"/>
    <x v="6"/>
    <n v="25"/>
    <n v="25"/>
    <x v="1"/>
  </r>
  <r>
    <x v="9"/>
    <m/>
    <x v="3"/>
    <s v="Terrier"/>
    <x v="9"/>
    <s v="Alert, Lively, Loving, Intelligent, Inquisitive, Playful"/>
    <n v="400"/>
    <m/>
    <n v="3"/>
    <m/>
    <m/>
    <x v="0"/>
    <x v="7"/>
    <n v="76"/>
    <n v="76"/>
    <x v="0"/>
  </r>
  <r>
    <x v="10"/>
    <m/>
    <x v="3"/>
    <s v="Terrier"/>
    <x v="1"/>
    <s v="Attentive, Courageous, Devoted, Friendly, Loyal, Tenacious, Intelligent"/>
    <n v="900"/>
    <n v="34"/>
    <n v="3"/>
    <m/>
    <n v="1"/>
    <x v="0"/>
    <x v="8"/>
    <n v="94"/>
    <n v="94"/>
    <x v="0"/>
  </r>
  <r>
    <x v="11"/>
    <m/>
    <x v="1"/>
    <s v="Gun"/>
    <x v="10"/>
    <s v="Energetic, Friendly, Intelligent, Obedient, Protective, Trainable"/>
    <n v="900"/>
    <n v="44"/>
    <n v="4"/>
    <m/>
    <m/>
    <x v="0"/>
    <x v="9"/>
    <n v="56"/>
    <n v="56"/>
    <x v="0"/>
  </r>
  <r>
    <x v="12"/>
    <m/>
    <x v="4"/>
    <s v="Guardian"/>
    <x v="11"/>
    <s v="Bold, Confident, Independent, Intelligent, Proud, Steady"/>
    <n v="800"/>
    <m/>
    <n v="6"/>
    <m/>
    <m/>
    <x v="0"/>
    <x v="10"/>
    <n v="780"/>
    <n v="780"/>
    <x v="0"/>
  </r>
  <r>
    <x v="13"/>
    <s v="Appenzeller"/>
    <x v="4"/>
    <s v="Guardian"/>
    <x v="12"/>
    <s v="Energetic, Fearless, Lively, Reliable, Self-assured, Social"/>
    <n v="700"/>
    <m/>
    <n v="5"/>
    <m/>
    <m/>
    <x v="0"/>
    <x v="2"/>
    <n v="909"/>
    <n v="909"/>
    <x v="0"/>
  </r>
  <r>
    <x v="14"/>
    <m/>
    <x v="6"/>
    <s v="Herding"/>
    <x v="13"/>
    <s v="Aggressive, Alert, Energetic, Intelligent, Loyal, Protective, Responsive"/>
    <n v="600"/>
    <n v="10"/>
    <n v="6"/>
    <m/>
    <m/>
    <x v="0"/>
    <x v="11"/>
    <n v="101"/>
    <n v="101"/>
    <x v="0"/>
  </r>
  <r>
    <x v="15"/>
    <s v="Kelpie"/>
    <x v="4"/>
    <s v="Herding"/>
    <x v="10"/>
    <s v="Alert, Eager, Energetic, Friendly, Intelligent, Loyal, Robust"/>
    <n v="600"/>
    <m/>
    <n v="5"/>
    <m/>
    <m/>
    <x v="0"/>
    <x v="2"/>
    <n v="102"/>
    <n v="102"/>
    <x v="0"/>
  </r>
  <r>
    <x v="16"/>
    <m/>
    <x v="3"/>
    <s v="Terrier"/>
    <x v="12"/>
    <s v="Active, Affectionate, Friendly, Good-natured, Intelligent, Protective, Loving"/>
    <n v="700"/>
    <n v="42"/>
    <n v="5"/>
    <m/>
    <m/>
    <x v="0"/>
    <x v="12"/>
    <n v="39"/>
    <n v="39"/>
    <x v="0"/>
  </r>
  <r>
    <x v="17"/>
    <m/>
    <x v="3"/>
    <s v="Terrier"/>
    <x v="9"/>
    <s v="Alert, Compassionate, Courageous, Even Tempered, Loyal, Spirited, Intelligent"/>
    <n v="1250"/>
    <n v="34"/>
    <n v="3"/>
    <m/>
    <m/>
    <x v="0"/>
    <x v="13"/>
    <n v="55"/>
    <n v="55"/>
    <x v="1"/>
  </r>
  <r>
    <x v="18"/>
    <m/>
    <x v="7"/>
    <s v="Sight"/>
    <x v="14"/>
    <s v="Affectionate, Alert, Curious, Energetic, Playful, Intelligent"/>
    <n v="1100"/>
    <n v="78"/>
    <n v="5"/>
    <m/>
    <m/>
    <x v="0"/>
    <x v="14"/>
    <n v="49"/>
    <n v="49"/>
    <x v="0"/>
  </r>
  <r>
    <x v="19"/>
    <s v="Basset"/>
    <x v="7"/>
    <s v="Scenthound"/>
    <x v="3"/>
    <s v="Affectionate, Devoted, Friendly, Gentle, Sweet-tempered, Tenacious"/>
    <n v="400"/>
    <n v="71"/>
    <n v="1"/>
    <m/>
    <m/>
    <x v="0"/>
    <x v="15"/>
    <n v="76"/>
    <n v="76"/>
    <x v="1"/>
  </r>
  <r>
    <x v="20"/>
    <m/>
    <x v="7"/>
    <s v="Scenthound"/>
    <x v="14"/>
    <s v="Friendly, Gentle, Independent, Intelligent, Lively, Loving, Sweet"/>
    <n v="650"/>
    <n v="72"/>
    <n v="1"/>
    <m/>
    <m/>
    <x v="0"/>
    <x v="16"/>
    <n v="34"/>
    <n v="34"/>
    <x v="1"/>
  </r>
  <r>
    <x v="21"/>
    <m/>
    <x v="6"/>
    <s v="Herding"/>
    <x v="2"/>
    <s v="Active, Alert, Hardy, Intelligent, Lively, Self-confident"/>
    <n v="1300"/>
    <n v="34"/>
    <n v="4"/>
    <m/>
    <m/>
    <x v="0"/>
    <x v="17"/>
    <n v="50"/>
    <n v="50"/>
    <x v="0"/>
  </r>
  <r>
    <x v="22"/>
    <m/>
    <x v="6"/>
    <s v="Herding"/>
    <x v="15"/>
    <s v="Courageous, Obedient, Loyal, Protective, Loving"/>
    <n v="1350"/>
    <m/>
    <n v="5"/>
    <m/>
    <m/>
    <x v="0"/>
    <x v="18"/>
    <n v="23"/>
    <n v="23"/>
    <x v="0"/>
  </r>
  <r>
    <x v="23"/>
    <m/>
    <x v="3"/>
    <s v="Terrier"/>
    <x v="16"/>
    <s v="Affectionate, Devoted, Energetic, Loyal, Playful, Reliable, Intelligent"/>
    <n v="1900"/>
    <n v="40"/>
    <n v="3"/>
    <m/>
    <m/>
    <x v="0"/>
    <x v="19"/>
    <n v="45"/>
    <n v="45"/>
    <x v="0"/>
  </r>
  <r>
    <x v="24"/>
    <s v="Groenendael"/>
    <x v="6"/>
    <s v="Herding"/>
    <x v="17"/>
    <s v="Active, Alert, Confident, Friendly, Hard-working, Protective, Stubborn, Watchful, Intelligent"/>
    <n v="1300"/>
    <n v="15"/>
    <n v="6"/>
    <m/>
    <m/>
    <x v="0"/>
    <x v="20"/>
    <n v="33"/>
    <n v="33"/>
    <x v="1"/>
  </r>
  <r>
    <x v="25"/>
    <m/>
    <x v="6"/>
    <s v="Herding"/>
    <x v="1"/>
    <s v="Active, Alert, Energetic, Lively, Protective, Watchful"/>
    <n v="650"/>
    <m/>
    <n v="5"/>
    <m/>
    <m/>
    <x v="0"/>
    <x v="2"/>
    <n v="53"/>
    <n v="53"/>
    <x v="0"/>
  </r>
  <r>
    <x v="26"/>
    <s v="Malinois"/>
    <x v="6"/>
    <s v="Herding"/>
    <x v="12"/>
    <s v="Active, Alert, Confident, Friendly, Hard-working, Protective, Stubborn, Watchful"/>
    <n v="700"/>
    <m/>
    <n v="6"/>
    <m/>
    <m/>
    <x v="0"/>
    <x v="21"/>
    <n v="87"/>
    <n v="87"/>
    <x v="0"/>
  </r>
  <r>
    <x v="27"/>
    <m/>
    <x v="6"/>
    <s v="Herding"/>
    <x v="18"/>
    <s v="Alert, Attentive, Energetic, Intelligent, Loyal, Protective"/>
    <n v="1350"/>
    <n v="14"/>
    <n v="6"/>
    <m/>
    <m/>
    <x v="0"/>
    <x v="22"/>
    <n v="67"/>
    <n v="67"/>
    <x v="0"/>
  </r>
  <r>
    <x v="28"/>
    <m/>
    <x v="4"/>
    <s v="Guardian"/>
    <x v="5"/>
    <s v="Affectionate, Faithful, Intelligent, Loyal"/>
    <n v="900"/>
    <n v="22"/>
    <n v="5"/>
    <m/>
    <m/>
    <x v="0"/>
    <x v="23"/>
    <n v="98"/>
    <n v="98"/>
    <x v="0"/>
  </r>
  <r>
    <x v="29"/>
    <m/>
    <x v="5"/>
    <s v="Companion"/>
    <x v="0"/>
    <s v="Affectionate, Cheerful, Feisty, Gentle, Playful, Intelligent, Sensitive"/>
    <n v="850"/>
    <n v="45"/>
    <n v="3"/>
    <m/>
    <m/>
    <x v="0"/>
    <x v="24"/>
    <n v="104"/>
    <n v="104"/>
    <x v="1"/>
  </r>
  <r>
    <x v="30"/>
    <m/>
    <x v="7"/>
    <s v="Scenthound"/>
    <x v="19"/>
    <s v="Adaptable, Easygoing, Even-tempered, Gentle, Lovable, Trusting, Intelligent"/>
    <n v="350"/>
    <n v="44"/>
    <n v="3"/>
    <m/>
    <m/>
    <x v="0"/>
    <x v="25"/>
    <n v="542"/>
    <n v="542"/>
    <x v="1"/>
  </r>
  <r>
    <x v="31"/>
    <m/>
    <x v="1"/>
    <s v="Gun"/>
    <x v="17"/>
    <s v="Affectionate, Alert, Cheerful, Energetic, Friendly, Gentle, Intelligent, Loving, Loyal, Outgoing, Playful, Responsive, Social"/>
    <n v="1500"/>
    <n v="7"/>
    <n v="3"/>
    <m/>
    <m/>
    <x v="0"/>
    <x v="26"/>
    <n v="123"/>
    <n v="123"/>
    <x v="0"/>
  </r>
  <r>
    <x v="32"/>
    <m/>
    <x v="7"/>
    <s v="Scenthound"/>
    <x v="17"/>
    <s v="Active, Fearless, Kind, Loyal, Protective, Trainable"/>
    <n v="400"/>
    <m/>
    <n v="3"/>
    <m/>
    <m/>
    <x v="0"/>
    <x v="2"/>
    <n v="105"/>
    <n v="105"/>
    <x v="1"/>
  </r>
  <r>
    <x v="33"/>
    <m/>
    <x v="4"/>
    <s v="Guardian"/>
    <x v="20"/>
    <s v="Brave, Confident, Energetic, Hardy, Lively, Stable"/>
    <n v="2150"/>
    <m/>
    <n v="6"/>
    <m/>
    <m/>
    <x v="0"/>
    <x v="27"/>
    <n v="107"/>
    <n v="107"/>
    <x v="0"/>
  </r>
  <r>
    <x v="34"/>
    <m/>
    <x v="7"/>
    <s v="Scenthound"/>
    <x v="21"/>
    <s v="Affectionate, Even-tempered, Gentle, Stubborn, Independent"/>
    <n v="1000"/>
    <n v="74"/>
    <n v="1"/>
    <m/>
    <m/>
    <x v="0"/>
    <x v="28"/>
    <n v="891"/>
    <n v="891"/>
    <x v="0"/>
  </r>
  <r>
    <x v="35"/>
    <m/>
    <x v="1"/>
    <s v="Gun"/>
    <x v="22"/>
    <s v="Active, Alert, Bold, Devoted, Intelligent, Intense"/>
    <n v="700"/>
    <m/>
    <n v="4"/>
    <m/>
    <m/>
    <x v="0"/>
    <x v="2"/>
    <n v="397"/>
    <n v="397"/>
    <x v="1"/>
  </r>
  <r>
    <x v="36"/>
    <s v="Bluetick"/>
    <x v="7"/>
    <s v="Scenthound"/>
    <x v="1"/>
    <s v="Friendly, Active, Gentle"/>
    <n v="550"/>
    <m/>
    <n v="1"/>
    <m/>
    <m/>
    <x v="0"/>
    <x v="29"/>
    <n v="675"/>
    <n v="675"/>
    <x v="0"/>
  </r>
  <r>
    <x v="37"/>
    <m/>
    <x v="4"/>
    <s v="Guardian"/>
    <x v="23"/>
    <s v="Confident, Dominant, Intelligent, Obedient, Territorial"/>
    <n v="1750"/>
    <m/>
    <n v="6"/>
    <m/>
    <m/>
    <x v="0"/>
    <x v="30"/>
    <n v="393"/>
    <n v="393"/>
    <x v="0"/>
  </r>
  <r>
    <x v="38"/>
    <m/>
    <x v="4"/>
    <s v="Companion"/>
    <x v="24"/>
    <s v="Docile, Enterprising, Loyal, Reserved, Serious"/>
    <n v="1350"/>
    <m/>
    <n v="2"/>
    <m/>
    <m/>
    <x v="0"/>
    <x v="2"/>
    <n v="215"/>
    <n v="215"/>
    <x v="0"/>
  </r>
  <r>
    <x v="39"/>
    <m/>
    <x v="6"/>
    <s v="Herding"/>
    <x v="25"/>
    <s v="Intelligent, Energetic, Alert, Responsive, Tenacious, Loyal, Protective"/>
    <n v="700"/>
    <n v="1"/>
    <n v="6"/>
    <m/>
    <m/>
    <x v="0"/>
    <x v="31"/>
    <n v="107"/>
    <n v="107"/>
    <x v="0"/>
  </r>
  <r>
    <x v="40"/>
    <m/>
    <x v="3"/>
    <s v="Terrier"/>
    <x v="26"/>
    <s v="Affectionate, Alert, Even-tempered, Fearless, Intelligent, Obedient"/>
    <n v="1300"/>
    <n v="30"/>
    <n v="4"/>
    <m/>
    <m/>
    <x v="0"/>
    <x v="32"/>
    <n v="110"/>
    <n v="110"/>
    <x v="0"/>
  </r>
  <r>
    <x v="41"/>
    <m/>
    <x v="7"/>
    <s v="Sight"/>
    <x v="27"/>
    <s v="Athletic, Gentle, Independent, Intelligent, Quiet, Respectful"/>
    <n v="1100"/>
    <n v="75"/>
    <n v="1"/>
    <m/>
    <m/>
    <x v="0"/>
    <x v="33"/>
    <n v="25"/>
    <n v="25"/>
    <x v="1"/>
  </r>
  <r>
    <x v="42"/>
    <s v="Boston Bull"/>
    <x v="5"/>
    <s v="Companion"/>
    <x v="16"/>
    <s v="Affectionate, Aggressive, Friendly, Gentle, Intelligent, Lively, Playful"/>
    <n v="750"/>
    <n v="54"/>
    <n v="3"/>
    <m/>
    <m/>
    <x v="0"/>
    <x v="34"/>
    <n v="35"/>
    <n v="35"/>
    <x v="0"/>
  </r>
  <r>
    <x v="43"/>
    <m/>
    <x v="6"/>
    <s v="Herding"/>
    <x v="28"/>
    <s v="Familial, Gentle, Intelligent, Loyal, Protective, Rational"/>
    <n v="1750"/>
    <n v="29"/>
    <n v="5"/>
    <m/>
    <m/>
    <x v="0"/>
    <x v="35"/>
    <n v="15"/>
    <n v="15"/>
    <x v="1"/>
  </r>
  <r>
    <x v="44"/>
    <m/>
    <x v="4"/>
    <s v="Guardian"/>
    <x v="29"/>
    <s v="Brave, Bright, Confident, Energetic, Fearless, Friendly, Intelligent, Loyal, Playful"/>
    <n v="900"/>
    <n v="49"/>
    <n v="5"/>
    <m/>
    <m/>
    <x v="0"/>
    <x v="36"/>
    <n v="5"/>
    <n v="5"/>
    <x v="0"/>
  </r>
  <r>
    <x v="45"/>
    <m/>
    <x v="1"/>
    <s v="Gun"/>
    <x v="30"/>
    <s v="Companionable, Eager, Energetic, Friendly, Intelligent, Trainable"/>
    <n v="900"/>
    <m/>
    <n v="3"/>
    <m/>
    <m/>
    <x v="0"/>
    <x v="37"/>
    <n v="100"/>
    <n v="100"/>
    <x v="0"/>
  </r>
  <r>
    <x v="46"/>
    <m/>
    <x v="6"/>
    <s v="Gun"/>
    <x v="31"/>
    <s v="Faithful, Fearless, Intelligent, Loyal, Obedient, Protective"/>
    <n v="1100"/>
    <n v="30"/>
    <n v="6"/>
    <m/>
    <m/>
    <x v="0"/>
    <x v="38"/>
    <n v="107"/>
    <n v="107"/>
    <x v="0"/>
  </r>
  <r>
    <x v="47"/>
    <m/>
    <x v="1"/>
    <s v="Gun"/>
    <x v="25"/>
    <s v="Alert, Independent, Intelligent, Responsive, Social"/>
    <n v="750"/>
    <n v="19"/>
    <n v="3"/>
    <m/>
    <m/>
    <x v="0"/>
    <x v="39"/>
    <n v="109"/>
    <n v="109"/>
    <x v="0"/>
  </r>
  <r>
    <x v="48"/>
    <s v="Brabancon Griffon"/>
    <x v="0"/>
    <s v="Companion"/>
    <x v="0"/>
    <s v="Alert, Companionable, Inquisitive, Self-important, Sensitive, Watchful"/>
    <n v="900"/>
    <m/>
    <n v="3"/>
    <m/>
    <m/>
    <x v="0"/>
    <x v="40"/>
    <n v="895"/>
    <n v="895"/>
    <x v="0"/>
  </r>
  <r>
    <x v="49"/>
    <s v="American Pit Bull Terrier"/>
    <x v="3"/>
    <s v="Terrier"/>
    <x v="1"/>
    <s v="Active, Keen, Protective, Sweet-tempered, Trainable"/>
    <n v="1350"/>
    <n v="66"/>
    <n v="6"/>
    <m/>
    <m/>
    <x v="0"/>
    <x v="41"/>
    <n v="576"/>
    <n v="576"/>
    <x v="0"/>
  </r>
  <r>
    <x v="50"/>
    <s v="Bull Mastiff"/>
    <x v="4"/>
    <s v="Guardian"/>
    <x v="19"/>
    <s v="Alert, Calm, Courageous, Devoted, Docile, Powerful, Loyal, Protective, Reliable"/>
    <n v="1350"/>
    <n v="69"/>
    <n v="6"/>
    <n v="1"/>
    <m/>
    <x v="0"/>
    <x v="42"/>
    <n v="300"/>
    <n v="300"/>
    <x v="0"/>
  </r>
  <r>
    <x v="51"/>
    <s v="Cairn"/>
    <x v="3"/>
    <s v="Terrier"/>
    <x v="26"/>
    <s v="Active, Assertive, Courageous, Fearless, Hardy, Intelligent"/>
    <n v="850"/>
    <n v="35"/>
    <n v="4"/>
    <m/>
    <m/>
    <x v="0"/>
    <x v="43"/>
    <n v="115"/>
    <n v="115"/>
    <x v="0"/>
  </r>
  <r>
    <x v="52"/>
    <m/>
    <x v="6"/>
    <s v="Sight"/>
    <x v="13"/>
    <s v="Alert, Cautious, Devoted, Quick, Vigilant"/>
    <n v="1000"/>
    <m/>
    <n v="3"/>
    <m/>
    <m/>
    <x v="0"/>
    <x v="44"/>
    <n v="110"/>
    <n v="110"/>
    <x v="0"/>
  </r>
  <r>
    <x v="53"/>
    <m/>
    <x v="4"/>
    <s v="Guardian"/>
    <x v="32"/>
    <s v="Cheerful, Courageous, Loyal, Quiet, Social"/>
    <n v="1750"/>
    <m/>
    <n v="6"/>
    <m/>
    <m/>
    <x v="0"/>
    <x v="45"/>
    <n v="11"/>
    <n v="11"/>
    <x v="0"/>
  </r>
  <r>
    <x v="54"/>
    <m/>
    <x v="2"/>
    <s v="Sight"/>
    <x v="22"/>
    <s v="Adaptable, Gentle, Loyal, Primitive, Reserved"/>
    <n v="900"/>
    <m/>
    <n v="3"/>
    <m/>
    <m/>
    <x v="0"/>
    <x v="2"/>
    <n v="103"/>
    <n v="103"/>
    <x v="0"/>
  </r>
  <r>
    <x v="55"/>
    <m/>
    <x v="6"/>
    <s v="Herding"/>
    <x v="12"/>
    <s v="Alert, Courageous, Energetic, Gentle, Independent, Intelligent, Loving, Loyal, Protective"/>
    <n v="400"/>
    <m/>
    <n v="6"/>
    <m/>
    <m/>
    <x v="0"/>
    <x v="2"/>
    <n v="178"/>
    <n v="178"/>
    <x v="0"/>
  </r>
  <r>
    <x v="56"/>
    <m/>
    <x v="6"/>
    <s v="Herding"/>
    <x v="13"/>
    <s v="Aggressive, Alert, Energetic, Intelligent, Loyal, Protective, Responsive"/>
    <n v="600"/>
    <n v="10"/>
    <n v="6"/>
    <m/>
    <m/>
    <x v="0"/>
    <x v="11"/>
    <n v="209"/>
    <n v="209"/>
    <x v="0"/>
  </r>
  <r>
    <x v="57"/>
    <m/>
    <x v="4"/>
    <s v="Guardian"/>
    <x v="33"/>
    <s v="Alert, Calm, Dominant, Powerful, Quick,Strong"/>
    <n v="1750"/>
    <m/>
    <n v="6"/>
    <m/>
    <m/>
    <x v="0"/>
    <x v="2"/>
    <n v="315"/>
    <n v="315"/>
    <x v="0"/>
  </r>
  <r>
    <x v="58"/>
    <m/>
    <x v="0"/>
    <s v="Companion"/>
    <x v="26"/>
    <s v="Affectionate, Cheerful, Courageous, Gentle, Intelligent, Social"/>
    <n v="1350"/>
    <n v="44"/>
    <n v="2"/>
    <m/>
    <m/>
    <x v="0"/>
    <x v="46"/>
    <n v="25"/>
    <n v="25"/>
    <x v="0"/>
  </r>
  <r>
    <x v="59"/>
    <m/>
    <x v="1"/>
    <s v="Gun"/>
    <x v="34"/>
    <s v="Happy, Affectionate, Dominant, Intelligent, Protective, Quiet"/>
    <n v="800"/>
    <n v="27"/>
    <n v="3"/>
    <m/>
    <m/>
    <x v="0"/>
    <x v="47"/>
    <n v="89"/>
    <n v="89"/>
    <x v="1"/>
  </r>
  <r>
    <x v="60"/>
    <m/>
    <x v="0"/>
    <s v="Companion"/>
    <x v="35"/>
    <s v="Alert, Courageous, Devoted, Lively, Intelligent, Quick"/>
    <n v="700"/>
    <n v="67"/>
    <n v="2"/>
    <m/>
    <m/>
    <x v="0"/>
    <x v="48"/>
    <n v="72"/>
    <n v="72"/>
    <x v="1"/>
  </r>
  <r>
    <x v="61"/>
    <m/>
    <x v="0"/>
    <s v="Companion"/>
    <x v="0"/>
    <s v="Affectionate, Alert, Happy, Lively, Playful, Sweet-tempered"/>
    <n v="900"/>
    <n v="61"/>
    <n v="2"/>
    <m/>
    <m/>
    <x v="0"/>
    <x v="49"/>
    <n v="81"/>
    <n v="81"/>
    <x v="0"/>
  </r>
  <r>
    <x v="62"/>
    <m/>
    <x v="4"/>
    <s v="Northern"/>
    <x v="36"/>
    <s v="Friendly, Devoted, Courageous"/>
    <n v="2000"/>
    <m/>
    <n v="5"/>
    <m/>
    <m/>
    <x v="0"/>
    <x v="2"/>
    <n v="64"/>
    <n v="64"/>
    <x v="1"/>
  </r>
  <r>
    <x v="63"/>
    <m/>
    <x v="4"/>
    <s v="Northern"/>
    <x v="17"/>
    <s v="Alert, Calm, Dignified, Friendly, Responsive"/>
    <n v="900"/>
    <m/>
    <n v="4"/>
    <m/>
    <m/>
    <x v="0"/>
    <x v="50"/>
    <n v="210"/>
    <n v="210"/>
    <x v="0"/>
  </r>
  <r>
    <x v="64"/>
    <m/>
    <x v="1"/>
    <s v="Gun"/>
    <x v="17"/>
    <s v="Affectionate, Alert, Cheerful, Energetic, Friendly, Gentle, Intelligent, Loving, Loyal, Outgoing, Playful, Responsive, Social"/>
    <n v="1500"/>
    <n v="7"/>
    <n v="3"/>
    <m/>
    <m/>
    <x v="0"/>
    <x v="26"/>
    <n v="111"/>
    <n v="111"/>
    <x v="0"/>
  </r>
  <r>
    <x v="65"/>
    <s v="Chow"/>
    <x v="5"/>
    <s v="Northern"/>
    <x v="3"/>
    <s v="Aloof, Independent, Loyal, Quiet, Intelligent, Protective, Detached"/>
    <n v="700"/>
    <n v="76"/>
    <n v="3"/>
    <m/>
    <m/>
    <x v="0"/>
    <x v="51"/>
    <n v="204"/>
    <n v="204"/>
    <x v="1"/>
  </r>
  <r>
    <x v="66"/>
    <m/>
    <x v="7"/>
    <s v="Sight"/>
    <x v="14"/>
    <s v="Affectionate, Gentle, Lively"/>
    <n v="900"/>
    <m/>
    <n v="3"/>
    <m/>
    <m/>
    <x v="0"/>
    <x v="52"/>
    <n v="35"/>
    <n v="35"/>
    <x v="0"/>
  </r>
  <r>
    <x v="67"/>
    <s v="Clumber"/>
    <x v="1"/>
    <s v="Gun"/>
    <x v="17"/>
    <s v="Gentle, Loyal, Affectionate, Dignified, Aloof"/>
    <n v="1000"/>
    <n v="37"/>
    <n v="3"/>
    <m/>
    <m/>
    <x v="0"/>
    <x v="53"/>
    <n v="11"/>
    <n v="11"/>
    <x v="1"/>
  </r>
  <r>
    <x v="68"/>
    <m/>
    <x v="1"/>
    <s v="Gun"/>
    <x v="8"/>
    <s v="Affectionate, Alert, Cheerful, Friendly, Intelligent, Loving, Loyal, Outgoing, Playful, Responsive, Social"/>
    <n v="1000"/>
    <m/>
    <n v="3"/>
    <m/>
    <m/>
    <x v="0"/>
    <x v="2"/>
    <n v="115"/>
    <n v="115"/>
    <x v="1"/>
  </r>
  <r>
    <x v="69"/>
    <m/>
    <x v="1"/>
    <s v="Gun"/>
    <x v="37"/>
    <s v="Even Tempered, Joyful, Merry, Outgoing, Intelligent, Sociable, Trusting"/>
    <n v="700"/>
    <n v="20"/>
    <n v="3"/>
    <m/>
    <m/>
    <x v="0"/>
    <x v="54"/>
    <n v="203"/>
    <n v="203"/>
    <x v="1"/>
  </r>
  <r>
    <x v="70"/>
    <m/>
    <x v="6"/>
    <s v="Herding"/>
    <x v="38"/>
    <s v="Friendly, Gentle, Intelligent, Loyal, Protective, Responsive, Social"/>
    <n v="500"/>
    <n v="16"/>
    <n v="5"/>
    <m/>
    <m/>
    <x v="0"/>
    <x v="55"/>
    <n v="45"/>
    <n v="45"/>
    <x v="0"/>
  </r>
  <r>
    <x v="71"/>
    <m/>
    <x v="7"/>
    <s v="Scenthound"/>
    <x v="19"/>
    <s v="Adaptable, Easygoing, Even-tempered, Gentle, Lovable, Trusting, Intelligent"/>
    <n v="350"/>
    <n v="44"/>
    <n v="3"/>
    <m/>
    <m/>
    <x v="0"/>
    <x v="25"/>
    <n v="59"/>
    <n v="59"/>
    <x v="0"/>
  </r>
  <r>
    <x v="72"/>
    <m/>
    <x v="6"/>
    <s v="Herding"/>
    <x v="39"/>
    <s v="Active, Affectionate, Alert, Companionable, Devoted, Gentle, Intelligent"/>
    <n v="1100"/>
    <n v="26"/>
    <n v="4"/>
    <m/>
    <m/>
    <x v="0"/>
    <x v="56"/>
    <n v="55"/>
    <n v="55"/>
    <x v="0"/>
  </r>
  <r>
    <x v="73"/>
    <m/>
    <x v="5"/>
    <s v="Companion"/>
    <x v="40"/>
    <s v="Affectionate, Intelligent, Lively, Playful, Trainable, Vocal"/>
    <n v="2700"/>
    <m/>
    <n v="3"/>
    <m/>
    <m/>
    <x v="0"/>
    <x v="57"/>
    <n v="23"/>
    <n v="23"/>
    <x v="1"/>
  </r>
  <r>
    <x v="74"/>
    <m/>
    <x v="1"/>
    <s v="Gun"/>
    <x v="18"/>
    <s v="Clever, Independent, Intelligent, Lively, Sensitive, Trainable"/>
    <n v="700"/>
    <n v="41"/>
    <n v="3"/>
    <m/>
    <m/>
    <x v="0"/>
    <x v="58"/>
    <n v="45"/>
    <n v="45"/>
    <x v="1"/>
  </r>
  <r>
    <x v="75"/>
    <m/>
    <x v="7"/>
    <s v="Scenthound"/>
    <x v="26"/>
    <s v="Clever, Courageous, Devoted, Lively, Playful, Stubborn"/>
    <n v="600"/>
    <n v="49"/>
    <n v="3"/>
    <m/>
    <m/>
    <x v="0"/>
    <x v="59"/>
    <n v="101"/>
    <n v="101"/>
    <x v="0"/>
  </r>
  <r>
    <x v="76"/>
    <m/>
    <x v="5"/>
    <s v="Companion"/>
    <x v="36"/>
    <s v="Active, Energetic, Friendly, Intelligent, Outgoing, Playful, Sensitive"/>
    <n v="800"/>
    <n v="39"/>
    <n v="3"/>
    <m/>
    <m/>
    <x v="0"/>
    <x v="60"/>
    <n v="115"/>
    <n v="115"/>
    <x v="0"/>
  </r>
  <r>
    <x v="77"/>
    <s v="Dandie Dinmont"/>
    <x v="3"/>
    <s v="Terrier"/>
    <x v="37"/>
    <s v="Affectionate, Companionable, Determined, Fun-loving, Independent, Lively, Intelligent"/>
    <n v="1500"/>
    <n v="62"/>
    <n v="3"/>
    <m/>
    <m/>
    <x v="0"/>
    <x v="61"/>
    <n v="309"/>
    <n v="309"/>
    <x v="0"/>
  </r>
  <r>
    <x v="78"/>
    <m/>
    <x v="2"/>
    <m/>
    <x v="22"/>
    <s v="Wild"/>
    <m/>
    <m/>
    <m/>
    <m/>
    <m/>
    <x v="0"/>
    <x v="2"/>
    <n v="250"/>
    <n v="250"/>
    <x v="1"/>
  </r>
  <r>
    <x v="79"/>
    <m/>
    <x v="2"/>
    <m/>
    <x v="10"/>
    <s v="Wild"/>
    <m/>
    <m/>
    <m/>
    <m/>
    <m/>
    <x v="0"/>
    <x v="2"/>
    <n v="301"/>
    <n v="301"/>
    <x v="0"/>
  </r>
  <r>
    <x v="80"/>
    <s v="Doberman"/>
    <x v="4"/>
    <s v="Guardian"/>
    <x v="41"/>
    <s v="Alert, Energetic, Fearless, Intelligent, Loyal, Obedient"/>
    <n v="900"/>
    <n v="5"/>
    <n v="6"/>
    <n v="1"/>
    <m/>
    <x v="0"/>
    <x v="62"/>
    <n v="256"/>
    <n v="256"/>
    <x v="0"/>
  </r>
  <r>
    <x v="81"/>
    <m/>
    <x v="4"/>
    <s v="Guardian"/>
    <x v="41"/>
    <s v="Affectionate, Cheerful, Friendly, Loyal, Protective, Tolerant, Social"/>
    <n v="39000"/>
    <m/>
    <n v="5"/>
    <m/>
    <n v="1"/>
    <x v="0"/>
    <x v="2"/>
    <n v="22"/>
    <n v="22"/>
    <x v="0"/>
  </r>
  <r>
    <x v="82"/>
    <m/>
    <x v="4"/>
    <s v="Guardian"/>
    <x v="42"/>
    <s v="Companionable, Courageous, Devoted, Even-tempered, Loyal, Vigiliant"/>
    <n v="1150"/>
    <m/>
    <n v="6"/>
    <m/>
    <m/>
    <x v="0"/>
    <x v="63"/>
    <n v="21"/>
    <n v="21"/>
    <x v="1"/>
  </r>
  <r>
    <x v="83"/>
    <m/>
    <x v="6"/>
    <s v="Herding"/>
    <x v="1"/>
    <s v="Affectionate, Alert, Loyal, Obedient, Reliable, Trainable"/>
    <n v="1100"/>
    <m/>
    <n v="5"/>
    <m/>
    <m/>
    <x v="0"/>
    <x v="2"/>
    <n v="14"/>
    <n v="14"/>
    <x v="0"/>
  </r>
  <r>
    <x v="84"/>
    <m/>
    <x v="5"/>
    <s v="Companion"/>
    <x v="36"/>
    <s v="Aggressive, Courageous, Friendly, Loving, Social, Sweet"/>
    <n v="1600"/>
    <n v="77"/>
    <n v="3"/>
    <m/>
    <m/>
    <x v="0"/>
    <x v="64"/>
    <n v="145"/>
    <n v="145"/>
    <x v="1"/>
  </r>
  <r>
    <x v="85"/>
    <m/>
    <x v="1"/>
    <s v="Gun"/>
    <x v="43"/>
    <s v="Affectionate, Faithful, Friendly, Intelligent, Playful, Quiet, Trainable"/>
    <n v="1050"/>
    <n v="18"/>
    <n v="4"/>
    <m/>
    <m/>
    <x v="0"/>
    <x v="65"/>
    <n v="76"/>
    <n v="76"/>
    <x v="0"/>
  </r>
  <r>
    <x v="86"/>
    <m/>
    <x v="7"/>
    <s v="Scenthound"/>
    <x v="3"/>
    <s v="Active, Energetic, High-strung, Loyal"/>
    <n v="1100"/>
    <m/>
    <n v="4"/>
    <m/>
    <m/>
    <x v="0"/>
    <x v="66"/>
    <n v="54"/>
    <n v="54"/>
    <x v="1"/>
  </r>
  <r>
    <x v="87"/>
    <m/>
    <x v="1"/>
    <s v="Gun"/>
    <x v="36"/>
    <s v="Active, Affectionate, Amiable, Even-tempered, Kind, Loyal, Intelligent"/>
    <n v="450"/>
    <n v="43"/>
    <n v="4"/>
    <m/>
    <m/>
    <x v="0"/>
    <x v="67"/>
    <n v="153"/>
    <n v="153"/>
    <x v="0"/>
  </r>
  <r>
    <x v="88"/>
    <m/>
    <x v="1"/>
    <s v="Gun"/>
    <x v="29"/>
    <s v="Strong-willed, Mischevious, Gentle, Energetic, Intelligent"/>
    <n v="500"/>
    <n v="37"/>
    <n v="3"/>
    <m/>
    <m/>
    <x v="0"/>
    <x v="68"/>
    <n v="25"/>
    <n v="25"/>
    <x v="1"/>
  </r>
  <r>
    <x v="89"/>
    <m/>
    <x v="6"/>
    <s v="Herding"/>
    <x v="36"/>
    <s v="Adaptable, Alert, Courageous, Energetic, Friendly, Independent, Intelligent, Playful, Responsibe"/>
    <n v="900"/>
    <m/>
    <n v="4"/>
    <m/>
    <m/>
    <x v="0"/>
    <x v="2"/>
    <n v="96"/>
    <n v="96"/>
    <x v="0"/>
  </r>
  <r>
    <x v="90"/>
    <m/>
    <x v="1"/>
    <s v="Gun"/>
    <x v="2"/>
    <s v="Affectionate, Alert, Cheerful, Energetic, Intelligent, Playful, Social"/>
    <n v="750"/>
    <n v="13"/>
    <n v="3"/>
    <m/>
    <m/>
    <x v="0"/>
    <x v="69"/>
    <n v="77"/>
    <n v="77"/>
    <x v="0"/>
  </r>
  <r>
    <x v="91"/>
    <s v="Blenheim Spaniel"/>
    <x v="0"/>
    <s v="Companion"/>
    <x v="9"/>
    <s v="Affectionate, Gentle, Happy, Loving, Playful, Reserved"/>
    <n v="1400"/>
    <m/>
    <n v="3"/>
    <m/>
    <m/>
    <x v="0"/>
    <x v="70"/>
    <n v="63"/>
    <n v="63"/>
    <x v="1"/>
  </r>
  <r>
    <x v="92"/>
    <m/>
    <x v="6"/>
    <s v="Guardian"/>
    <x v="12"/>
    <s v="Agile, Devoted, Independent, Loyal, Self-confident"/>
    <m/>
    <m/>
    <n v="6"/>
    <m/>
    <m/>
    <x v="0"/>
    <x v="71"/>
    <n v="95"/>
    <n v="95"/>
    <x v="1"/>
  </r>
  <r>
    <x v="93"/>
    <m/>
    <x v="5"/>
    <s v="Northern"/>
    <x v="8"/>
    <s v="Alert, Energetic, Friendly, Independent, Intelligent, Protective"/>
    <n v="700"/>
    <m/>
    <n v="4"/>
    <m/>
    <m/>
    <x v="0"/>
    <x v="6"/>
    <n v="103"/>
    <n v="103"/>
    <x v="0"/>
  </r>
  <r>
    <x v="94"/>
    <m/>
    <x v="3"/>
    <s v="Terrier"/>
    <x v="30"/>
    <s v="Agile, Alert, Lovable, Spirited, Swift"/>
    <n v="350"/>
    <m/>
    <n v="4"/>
    <m/>
    <m/>
    <x v="0"/>
    <x v="2"/>
    <n v="115"/>
    <n v="115"/>
    <x v="0"/>
  </r>
  <r>
    <x v="95"/>
    <m/>
    <x v="1"/>
    <s v="Gun"/>
    <x v="44"/>
    <s v="Adaptable, Cautious, Docile, Familial, Sensitive, Sociable"/>
    <n v="900"/>
    <n v="34"/>
    <n v="3"/>
    <m/>
    <m/>
    <x v="0"/>
    <x v="72"/>
    <n v="79"/>
    <n v="79"/>
    <x v="0"/>
  </r>
  <r>
    <x v="96"/>
    <m/>
    <x v="4"/>
    <s v="Guardian"/>
    <x v="21"/>
    <s v="Brave, Courageous, Determined, Docile, Loyal, Obedient"/>
    <n v="1150"/>
    <m/>
    <n v="5"/>
    <m/>
    <n v="1"/>
    <x v="0"/>
    <x v="2"/>
    <n v="5"/>
    <n v="5"/>
    <x v="0"/>
  </r>
  <r>
    <x v="97"/>
    <m/>
    <x v="6"/>
    <s v="Northern"/>
    <x v="22"/>
    <s v="Calm, Courageous, Faithful, Friendly, Keen"/>
    <n v="700"/>
    <m/>
    <n v="5"/>
    <m/>
    <m/>
    <x v="0"/>
    <x v="73"/>
    <n v="20"/>
    <n v="20"/>
    <x v="0"/>
  </r>
  <r>
    <x v="98"/>
    <m/>
    <x v="5"/>
    <s v="Northern"/>
    <x v="30"/>
    <s v="Happy, Independent, Intelligent, Loyal, Playful, Vocal"/>
    <n v="600"/>
    <n v="43"/>
    <n v="3"/>
    <m/>
    <m/>
    <x v="0"/>
    <x v="74"/>
    <n v="15"/>
    <n v="15"/>
    <x v="0"/>
  </r>
  <r>
    <x v="99"/>
    <m/>
    <x v="1"/>
    <s v="Gun"/>
    <x v="29"/>
    <s v="Friendly, Confident, Devoted, Optimistic, Outgoing, Intelligent"/>
    <n v="1100"/>
    <n v="18"/>
    <n v="5"/>
    <m/>
    <m/>
    <x v="0"/>
    <x v="75"/>
    <n v="5"/>
    <n v="5"/>
    <x v="0"/>
  </r>
  <r>
    <x v="100"/>
    <m/>
    <x v="3"/>
    <s v="Terrier"/>
    <x v="8"/>
    <s v="Active, Affectionate, Alert, Fearless, Intelligent, Playful"/>
    <n v="850"/>
    <n v="40"/>
    <n v="3"/>
    <m/>
    <m/>
    <x v="0"/>
    <x v="76"/>
    <n v="49"/>
    <n v="49"/>
    <x v="0"/>
  </r>
  <r>
    <x v="101"/>
    <m/>
    <x v="7"/>
    <s v="Scenthound"/>
    <x v="17"/>
    <s v="Independent, Intelligent, Kind, Loving, Loyal, Sweet-tempered"/>
    <n v="500"/>
    <n v="46"/>
    <n v="2"/>
    <m/>
    <m/>
    <x v="0"/>
    <x v="77"/>
    <n v="4"/>
    <n v="4"/>
    <x v="1"/>
  </r>
  <r>
    <x v="102"/>
    <m/>
    <x v="5"/>
    <s v="Companion"/>
    <x v="45"/>
    <s v="Affectionate, Playful, Alert, Athletic, Bright, Easygoing, Keen, Lively, Patient"/>
    <n v="3000"/>
    <n v="58"/>
    <n v="3"/>
    <m/>
    <m/>
    <x v="0"/>
    <x v="78"/>
    <n v="39"/>
    <n v="39"/>
    <x v="0"/>
  </r>
  <r>
    <x v="103"/>
    <m/>
    <x v="7"/>
    <s v="Sight"/>
    <x v="36"/>
    <s v="Affectionate, Calm, Quiet, Gentle"/>
    <n v="700"/>
    <m/>
    <n v="3"/>
    <m/>
    <m/>
    <x v="0"/>
    <x v="2"/>
    <n v="77"/>
    <n v="77"/>
    <x v="1"/>
  </r>
  <r>
    <x v="104"/>
    <m/>
    <x v="4"/>
    <s v="Terrier"/>
    <x v="43"/>
    <s v="Even-tempered, Familial, Courageous, Lively, Loving, Spirited"/>
    <n v="1500"/>
    <m/>
    <n v="6"/>
    <n v="1"/>
    <m/>
    <x v="0"/>
    <x v="79"/>
    <n v="32"/>
    <n v="32"/>
    <x v="1"/>
  </r>
  <r>
    <x v="105"/>
    <s v="German Shepherd"/>
    <x v="6"/>
    <s v="Herding"/>
    <x v="31"/>
    <s v="Alert, Confident, Courageous, Curious, Intelligent, Loyal, Obedient, Watchful"/>
    <n v="1400"/>
    <n v="3"/>
    <n v="6"/>
    <n v="1"/>
    <m/>
    <x v="1"/>
    <x v="80"/>
    <n v="125"/>
    <n v="125"/>
    <x v="0"/>
  </r>
  <r>
    <x v="106"/>
    <s v="German Short Haired Pointer"/>
    <x v="4"/>
    <s v="Gun"/>
    <x v="46"/>
    <s v="Affectionate, Boisterous, Bold, Cooperative, Intelligent, Trainable"/>
    <n v="700"/>
    <n v="17"/>
    <n v="3"/>
    <m/>
    <m/>
    <x v="0"/>
    <x v="81"/>
    <n v="110"/>
    <n v="110"/>
    <x v="0"/>
  </r>
  <r>
    <x v="107"/>
    <m/>
    <x v="5"/>
    <s v="Northern"/>
    <x v="8"/>
    <s v="Alert, Energetic, Friendly, Independent, Intelligent, Protective"/>
    <n v="700"/>
    <m/>
    <n v="4"/>
    <m/>
    <m/>
    <x v="0"/>
    <x v="6"/>
    <n v="55"/>
    <n v="55"/>
    <x v="1"/>
  </r>
  <r>
    <x v="108"/>
    <m/>
    <x v="1"/>
    <s v="Gun"/>
    <x v="29"/>
    <s v="Active, Affectionate, Friendly, Intelligent, Loyal, Willful, Responsive"/>
    <n v="800"/>
    <n v="44"/>
    <n v="6"/>
    <m/>
    <m/>
    <x v="0"/>
    <x v="82"/>
    <n v="59"/>
    <n v="59"/>
    <x v="0"/>
  </r>
  <r>
    <x v="109"/>
    <m/>
    <x v="4"/>
    <s v="Companion"/>
    <x v="7"/>
    <s v="Dominant, Intelligent, Kind, Loyal, Powerful, Strong-willed"/>
    <n v="1250"/>
    <n v="28"/>
    <n v="6"/>
    <m/>
    <m/>
    <x v="0"/>
    <x v="83"/>
    <n v="83"/>
    <n v="61"/>
    <x v="1"/>
  </r>
  <r>
    <x v="110"/>
    <m/>
    <x v="3"/>
    <s v="Terrier"/>
    <x v="10"/>
    <s v="Active, Agile, Courageous, Gentle, Loyal, Spirited"/>
    <n v="900"/>
    <m/>
    <n v="3"/>
    <m/>
    <m/>
    <x v="0"/>
    <x v="84"/>
    <n v="112"/>
    <n v="112"/>
    <x v="0"/>
  </r>
  <r>
    <x v="111"/>
    <m/>
    <x v="1"/>
    <s v="Gun"/>
    <x v="17"/>
    <s v="Confident, Friendly, Intelligent, Kind, Reliable, Trustworthy"/>
    <n v="1500"/>
    <n v="4"/>
    <n v="3"/>
    <m/>
    <m/>
    <x v="2"/>
    <x v="85"/>
    <n v="150"/>
    <n v="150"/>
    <x v="0"/>
  </r>
  <r>
    <x v="112"/>
    <m/>
    <x v="1"/>
    <s v="Gun"/>
    <x v="38"/>
    <s v="Alert, Confident, Eager, Fearless, Loyal, Intelligent"/>
    <n v="900"/>
    <n v="34"/>
    <n v="4"/>
    <m/>
    <m/>
    <x v="0"/>
    <x v="86"/>
    <n v="153"/>
    <n v="153"/>
    <x v="0"/>
  </r>
  <r>
    <x v="113"/>
    <m/>
    <x v="4"/>
    <s v="Guardian"/>
    <x v="47"/>
    <s v="Friendly, Confident, Devoted, Intelligent, Gentle, Loving, Reserved"/>
    <n v="1000"/>
    <n v="48"/>
    <n v="5"/>
    <m/>
    <m/>
    <x v="0"/>
    <x v="87"/>
    <n v="149"/>
    <n v="149"/>
    <x v="0"/>
  </r>
  <r>
    <x v="114"/>
    <m/>
    <x v="4"/>
    <s v="Guardian"/>
    <x v="48"/>
    <s v="Affectionate, Confident, Fearless, Gentle, Patient, Strong-willed"/>
    <n v="800"/>
    <n v="64"/>
    <n v="6"/>
    <m/>
    <m/>
    <x v="0"/>
    <x v="88"/>
    <n v="121"/>
    <n v="121"/>
    <x v="0"/>
  </r>
  <r>
    <x v="115"/>
    <m/>
    <x v="4"/>
    <s v="Guardian"/>
    <x v="42"/>
    <s v="Alert, Devoted, Fearless, Good-natured, Protective, Self-confident"/>
    <n v="2250"/>
    <m/>
    <n v="5"/>
    <m/>
    <m/>
    <x v="0"/>
    <x v="89"/>
    <n v="101"/>
    <n v="101"/>
    <x v="1"/>
  </r>
  <r>
    <x v="116"/>
    <m/>
    <x v="7"/>
    <s v="Sight"/>
    <x v="34"/>
    <s v="Intelligent, Gentle, Affectionate, Athletic, Even-tempered, Quiet"/>
    <n v="650"/>
    <n v="46"/>
    <n v="3"/>
    <m/>
    <m/>
    <x v="0"/>
    <x v="90"/>
    <n v="93"/>
    <n v="93"/>
    <x v="0"/>
  </r>
  <r>
    <x v="117"/>
    <m/>
    <x v="7"/>
    <s v="Scenthound"/>
    <x v="49"/>
    <s v="Active, Cheerful, Friendly, Outgoing, Sweet-tempered, Tolerant"/>
    <n v="350"/>
    <m/>
    <n v="2"/>
    <m/>
    <m/>
    <x v="0"/>
    <x v="91"/>
    <n v="204"/>
    <n v="204"/>
    <x v="1"/>
  </r>
  <r>
    <x v="118"/>
    <m/>
    <x v="0"/>
    <s v="Companion"/>
    <x v="9"/>
    <s v="Affectionate, Companionable, Gentle, Intelligent, Playful, Responsive"/>
    <n v="1050"/>
    <m/>
    <n v="3"/>
    <m/>
    <m/>
    <x v="0"/>
    <x v="92"/>
    <n v="505"/>
    <n v="505"/>
    <x v="0"/>
  </r>
  <r>
    <x v="119"/>
    <m/>
    <x v="7"/>
    <s v="Scenthound"/>
    <x v="17"/>
    <s v="Independent, Intelligent, Kind, Loving, Loyal, Sweet-tempered"/>
    <n v="500"/>
    <n v="46"/>
    <n v="2"/>
    <m/>
    <m/>
    <x v="0"/>
    <x v="77"/>
    <n v="396"/>
    <n v="396"/>
    <x v="1"/>
  </r>
  <r>
    <x v="120"/>
    <m/>
    <x v="4"/>
    <s v="Guardian"/>
    <x v="7"/>
    <s v="Watchful, Even-tempered, Reserved, Active, Devoted"/>
    <n v="1100"/>
    <m/>
    <n v="6"/>
    <m/>
    <m/>
    <x v="0"/>
    <x v="2"/>
    <n v="111"/>
    <n v="111"/>
    <x v="0"/>
  </r>
  <r>
    <x v="121"/>
    <m/>
    <x v="4"/>
    <s v="Northern"/>
    <x v="50"/>
    <s v="Alert, Friendly, Gentle, Intelligent, Outgoing"/>
    <n v="950"/>
    <n v="45"/>
    <n v="1"/>
    <m/>
    <m/>
    <x v="0"/>
    <x v="93"/>
    <n v="14"/>
    <n v="14"/>
    <x v="0"/>
  </r>
  <r>
    <x v="122"/>
    <m/>
    <x v="7"/>
    <s v="Sight"/>
    <x v="49"/>
    <s v="Active, Clownish, Engaging, Independent, Intelligent, Stubborn"/>
    <n v="1000"/>
    <n v="53"/>
    <n v="3"/>
    <m/>
    <m/>
    <x v="0"/>
    <x v="94"/>
    <n v="20"/>
    <n v="20"/>
    <x v="0"/>
  </r>
  <r>
    <x v="123"/>
    <m/>
    <x v="6"/>
    <s v="Herding"/>
    <x v="6"/>
    <s v="Independent, Reliable, Devoted, Protective"/>
    <n v="1500"/>
    <m/>
    <n v="6"/>
    <m/>
    <m/>
    <x v="0"/>
    <x v="2"/>
    <n v="25"/>
    <n v="25"/>
    <x v="0"/>
  </r>
  <r>
    <x v="124"/>
    <m/>
    <x v="1"/>
    <s v="Gun"/>
    <x v="17"/>
    <s v="Affectionate, Companionable, Energetic, Independent, Lively, Playful, Intelligent"/>
    <n v="900"/>
    <n v="35"/>
    <n v="3"/>
    <m/>
    <m/>
    <x v="0"/>
    <x v="95"/>
    <n v="67"/>
    <n v="67"/>
    <x v="0"/>
  </r>
  <r>
    <x v="125"/>
    <m/>
    <x v="3"/>
    <s v="Terrier"/>
    <x v="45"/>
    <s v="Dominant, Intelligent, Lively, Protective, Respectful, Trainable"/>
    <n v="700"/>
    <n v="53"/>
    <n v="5"/>
    <m/>
    <m/>
    <x v="0"/>
    <x v="96"/>
    <n v="77"/>
    <n v="77"/>
    <x v="1"/>
  </r>
  <r>
    <x v="126"/>
    <m/>
    <x v="1"/>
    <s v="Gun"/>
    <x v="36"/>
    <s v="Active, Alert, Clownish, Inquisitive, Intelligent, Quick"/>
    <n v="900"/>
    <n v="24"/>
    <n v="4"/>
    <m/>
    <m/>
    <x v="0"/>
    <x v="97"/>
    <n v="74172"/>
    <n v="74172"/>
    <x v="0"/>
  </r>
  <r>
    <x v="127"/>
    <m/>
    <x v="7"/>
    <s v="Scenthound"/>
    <x v="19"/>
    <s v="Dignified, Generous, Loyal, Patient, Sweet-tempered, Thoughtful, Intelligent"/>
    <n v="1900"/>
    <n v="41"/>
    <n v="3"/>
    <m/>
    <m/>
    <x v="0"/>
    <x v="98"/>
    <n v="254"/>
    <n v="254"/>
    <x v="0"/>
  </r>
  <r>
    <x v="128"/>
    <m/>
    <x v="0"/>
    <s v="Companion"/>
    <x v="0"/>
    <s v="Affectionate, Agile, Athletic, Companionable, Intelligent, Mischevious"/>
    <n v="900"/>
    <n v="60"/>
    <n v="3"/>
    <m/>
    <m/>
    <x v="0"/>
    <x v="99"/>
    <n v="232"/>
    <n v="232"/>
    <x v="0"/>
  </r>
  <r>
    <x v="129"/>
    <m/>
    <x v="1"/>
    <s v="Gun"/>
    <x v="34"/>
    <s v="Friendly, Loyal, Affectionate, Docile, Gentle, Patient"/>
    <n v="1750"/>
    <m/>
    <n v="3"/>
    <m/>
    <m/>
    <x v="0"/>
    <x v="100"/>
    <n v="597"/>
    <n v="597"/>
    <x v="1"/>
  </r>
  <r>
    <x v="130"/>
    <m/>
    <x v="3"/>
    <s v="Terrier"/>
    <x v="26"/>
    <s v="Alert, Cheerful, Courageous, Energetic, Independent"/>
    <n v="850"/>
    <m/>
    <n v="4"/>
    <m/>
    <m/>
    <x v="0"/>
    <x v="101"/>
    <n v="321"/>
    <n v="321"/>
    <x v="1"/>
  </r>
  <r>
    <x v="131"/>
    <m/>
    <x v="3"/>
    <s v="Terrier"/>
    <x v="26"/>
    <s v="Energetic, Bold, Eager, Happy, Intelligent, Obedient"/>
    <n v="500"/>
    <m/>
    <n v="3"/>
    <m/>
    <m/>
    <x v="0"/>
    <x v="102"/>
    <n v="10"/>
    <n v="10"/>
    <x v="0"/>
  </r>
  <r>
    <x v="132"/>
    <s v="Japanese Spaniel"/>
    <x v="0"/>
    <s v="Companion"/>
    <x v="9"/>
    <s v="Alert, Cat-like, Independent, Intelligent, Loving, Loyal, Playful"/>
    <n v="400"/>
    <n v="62"/>
    <n v="3"/>
    <m/>
    <m/>
    <x v="0"/>
    <x v="103"/>
    <n v="28"/>
    <n v="28"/>
    <x v="0"/>
  </r>
  <r>
    <x v="133"/>
    <m/>
    <x v="1"/>
    <s v="Northern"/>
    <x v="51"/>
    <s v="Active, Bold, Brave, Faithful, Intelligent, Loyal"/>
    <n v="350"/>
    <m/>
    <n v="4"/>
    <m/>
    <m/>
    <x v="0"/>
    <x v="2"/>
    <n v="48"/>
    <n v="48"/>
    <x v="0"/>
  </r>
  <r>
    <x v="134"/>
    <m/>
    <x v="5"/>
    <s v="Northern"/>
    <x v="22"/>
    <s v="Intelligent, Agile, Alert, Brave"/>
    <n v="3000"/>
    <m/>
    <n v="5"/>
    <m/>
    <m/>
    <x v="0"/>
    <x v="2"/>
    <n v="54"/>
    <n v="54"/>
    <x v="0"/>
  </r>
  <r>
    <x v="135"/>
    <m/>
    <x v="1"/>
    <s v="Northern"/>
    <x v="49"/>
    <s v="Brave, Cautious, Loyal, Independent, Tenacious, Territorial"/>
    <n v="1100"/>
    <m/>
    <n v="4"/>
    <m/>
    <m/>
    <x v="0"/>
    <x v="2"/>
    <n v="71"/>
    <n v="71"/>
    <x v="0"/>
  </r>
  <r>
    <x v="136"/>
    <m/>
    <x v="5"/>
    <s v="Northern"/>
    <x v="22"/>
    <s v="Agile, Bright, Obedient, Playful, Quick, Sturdy, Intelligent"/>
    <n v="900"/>
    <n v="16"/>
    <n v="4"/>
    <m/>
    <m/>
    <x v="0"/>
    <x v="104"/>
    <n v="95"/>
    <n v="95"/>
    <x v="0"/>
  </r>
  <r>
    <x v="137"/>
    <m/>
    <x v="3"/>
    <s v="Terrier"/>
    <x v="25"/>
    <s v="Affectionate, Alert, Gentle, Loyal, Spirited, Strong-willed, Intelligent"/>
    <n v="550"/>
    <n v="35"/>
    <n v="5"/>
    <m/>
    <m/>
    <x v="0"/>
    <x v="105"/>
    <n v="107"/>
    <n v="107"/>
    <x v="0"/>
  </r>
  <r>
    <x v="138"/>
    <m/>
    <x v="1"/>
    <s v="Northern"/>
    <x v="51"/>
    <s v="Alert, Dignified, Docile, Faithful, Noble"/>
    <n v="400"/>
    <m/>
    <n v="4"/>
    <m/>
    <m/>
    <x v="0"/>
    <x v="2"/>
    <n v="220"/>
    <n v="220"/>
    <x v="1"/>
  </r>
  <r>
    <x v="139"/>
    <m/>
    <x v="5"/>
    <s v="Northern"/>
    <x v="26"/>
    <s v="Active, Agile, Curious, Intelligent, Loyal, Quick, Territorial"/>
    <n v="1250"/>
    <m/>
    <n v="5"/>
    <m/>
    <m/>
    <x v="0"/>
    <x v="2"/>
    <n v="225"/>
    <n v="225"/>
    <x v="0"/>
  </r>
  <r>
    <x v="140"/>
    <m/>
    <x v="4"/>
    <s v="Guardian"/>
    <x v="52"/>
    <s v="Affectionate, Calm, Fearless, Gentle, Independent, Steady"/>
    <n v="1000"/>
    <m/>
    <n v="6"/>
    <m/>
    <m/>
    <x v="0"/>
    <x v="106"/>
    <n v="309"/>
    <n v="309"/>
    <x v="0"/>
  </r>
  <r>
    <x v="141"/>
    <m/>
    <x v="4"/>
    <s v="Guardian"/>
    <x v="53"/>
    <s v="Clownish, Independent, Intelligent, Loyal, Patient, Protective"/>
    <n v="1350"/>
    <n v="42"/>
    <n v="6"/>
    <m/>
    <m/>
    <x v="0"/>
    <x v="107"/>
    <n v="457"/>
    <n v="457"/>
    <x v="1"/>
  </r>
  <r>
    <x v="142"/>
    <m/>
    <x v="5"/>
    <s v="Companion"/>
    <x v="9"/>
    <s v="Active, Calm, Forgiving, Obedient, Playful, Quiet"/>
    <n v="700"/>
    <m/>
    <n v="3"/>
    <m/>
    <m/>
    <x v="0"/>
    <x v="2"/>
    <n v="689"/>
    <n v="689"/>
    <x v="0"/>
  </r>
  <r>
    <x v="143"/>
    <m/>
    <x v="1"/>
    <s v="Gun"/>
    <x v="17"/>
    <s v="Affectionate, Alert, Cheerful, Energetic, Friendly, Gentle, Intelligent, Loving, Loyal, Outgoing, Playful, Responsive, Social"/>
    <n v="1500"/>
    <n v="7"/>
    <n v="3"/>
    <m/>
    <m/>
    <x v="0"/>
    <x v="26"/>
    <n v="351"/>
    <n v="351"/>
    <x v="0"/>
  </r>
  <r>
    <x v="144"/>
    <m/>
    <x v="3"/>
    <s v="Terrier"/>
    <x v="8"/>
    <s v="Independent, Bold, Confident, Friendly, Intelligent, Trainable"/>
    <n v="1500"/>
    <n v="62"/>
    <n v="3"/>
    <m/>
    <m/>
    <x v="0"/>
    <x v="108"/>
    <n v="32"/>
    <n v="32"/>
    <x v="1"/>
  </r>
  <r>
    <x v="145"/>
    <m/>
    <x v="6"/>
    <s v="Herding"/>
    <x v="9"/>
    <s v="Alert, Clever, Friendly, Intelligent"/>
    <n v="700"/>
    <m/>
    <n v="3"/>
    <m/>
    <m/>
    <x v="0"/>
    <x v="2"/>
    <n v="75"/>
    <n v="75"/>
    <x v="0"/>
  </r>
  <r>
    <x v="146"/>
    <m/>
    <x v="4"/>
    <s v="Guardian"/>
    <x v="54"/>
    <s v="Adaptable, Companionable, Fearless, Loving, Loyal, Obedient"/>
    <n v="1750"/>
    <m/>
    <n v="5"/>
    <m/>
    <m/>
    <x v="0"/>
    <x v="109"/>
    <n v="33"/>
    <n v="33"/>
    <x v="0"/>
  </r>
  <r>
    <x v="147"/>
    <m/>
    <x v="5"/>
    <s v="Companion"/>
    <x v="40"/>
    <s v="Alert, Assertive, Devoted, Friendly, Intelligent, Lively, Obedient, Playful, Spirited, Steady"/>
    <n v="600"/>
    <n v="68"/>
    <n v="3"/>
    <m/>
    <m/>
    <x v="0"/>
    <x v="110"/>
    <n v="5"/>
    <n v="5"/>
    <x v="0"/>
  </r>
  <r>
    <x v="148"/>
    <m/>
    <x v="5"/>
    <s v="Companion"/>
    <x v="40"/>
    <s v="Active, Familial, Friendly, Happy, Playful"/>
    <n v="400"/>
    <m/>
    <n v="3"/>
    <m/>
    <m/>
    <x v="0"/>
    <x v="111"/>
    <n v="125"/>
    <n v="125"/>
    <x v="0"/>
  </r>
  <r>
    <x v="149"/>
    <s v="Maltese Dog"/>
    <x v="0"/>
    <s v="Companion"/>
    <x v="0"/>
    <s v="Active, Docile, Easygoing, Gentle, Intelligent, Playful, Responsive, Sweet-tempered"/>
    <n v="700"/>
    <n v="59"/>
    <n v="3"/>
    <m/>
    <m/>
    <x v="0"/>
    <x v="112"/>
    <n v="79"/>
    <n v="79"/>
    <x v="0"/>
  </r>
  <r>
    <x v="150"/>
    <m/>
    <x v="3"/>
    <s v="Terrier"/>
    <x v="40"/>
    <s v="Active, Alert, Devoted, Discerning, Quiet, Loyal, Intelligent"/>
    <n v="800"/>
    <n v="32"/>
    <n v="3"/>
    <m/>
    <m/>
    <x v="0"/>
    <x v="113"/>
    <n v="16"/>
    <n v="16"/>
    <x v="0"/>
  </r>
  <r>
    <x v="151"/>
    <m/>
    <x v="4"/>
    <s v="Guardian"/>
    <x v="7"/>
    <s v="Alert, Determined, Dignified, Friendly, Intelligent, Loyal"/>
    <n v="700"/>
    <m/>
    <n v="4"/>
    <m/>
    <m/>
    <x v="0"/>
    <x v="2"/>
    <n v="33"/>
    <n v="33"/>
    <x v="0"/>
  </r>
  <r>
    <x v="152"/>
    <m/>
    <x v="4"/>
    <s v="Guardian"/>
    <x v="55"/>
    <s v="Affectionate, Alert, Cheerful, Courageous, Intelligent, Loyal, Protective"/>
    <n v="1350"/>
    <n v="72"/>
    <n v="6"/>
    <m/>
    <m/>
    <x v="0"/>
    <x v="114"/>
    <n v="71"/>
    <n v="71"/>
    <x v="0"/>
  </r>
  <r>
    <x v="153"/>
    <m/>
    <x v="6"/>
    <s v="Herding"/>
    <x v="2"/>
    <s v="Friendly, Hard-working, Obedient, Protective, Sociable, Well-mannered"/>
    <n v="400"/>
    <m/>
    <n v="3"/>
    <m/>
    <m/>
    <x v="0"/>
    <x v="2"/>
    <n v="96"/>
    <n v="96"/>
    <x v="1"/>
  </r>
  <r>
    <x v="154"/>
    <m/>
    <x v="0"/>
    <s v="Companion"/>
    <x v="9"/>
    <s v="Clever, Energetic, Friendly, Outgoing, Playful, Responsive, Intelligent"/>
    <n v="500"/>
    <n v="37"/>
    <n v="3"/>
    <m/>
    <m/>
    <x v="0"/>
    <x v="115"/>
    <n v="80"/>
    <n v="80"/>
    <x v="0"/>
  </r>
  <r>
    <x v="155"/>
    <m/>
    <x v="4"/>
    <s v="Scenthound"/>
    <x v="51"/>
    <s v="Intelligent, Protective"/>
    <n v="400"/>
    <m/>
    <n v="6"/>
    <m/>
    <m/>
    <x v="0"/>
    <x v="2"/>
    <n v="134"/>
    <n v="134"/>
    <x v="0"/>
  </r>
  <r>
    <x v="156"/>
    <m/>
    <x v="4"/>
    <s v="Guardian"/>
    <x v="5"/>
    <s v="Affectionate, Faithful, Intelligent, Loyal"/>
    <n v="900"/>
    <n v="22"/>
    <n v="5"/>
    <m/>
    <m/>
    <x v="0"/>
    <x v="23"/>
    <n v="75"/>
    <n v="75"/>
    <x v="0"/>
  </r>
  <r>
    <x v="157"/>
    <m/>
    <x v="1"/>
    <s v="Gun"/>
    <x v="51"/>
    <s v="Intelligent, Trainable, Attentive, Mischevious"/>
    <n v="1500"/>
    <m/>
    <n v="3"/>
    <m/>
    <m/>
    <x v="0"/>
    <x v="2"/>
    <n v="325"/>
    <n v="325"/>
    <x v="1"/>
  </r>
  <r>
    <x v="158"/>
    <m/>
    <x v="4"/>
    <s v="Guardian"/>
    <x v="42"/>
    <s v="Protective, Dominant, Fearless, Obedient, Stubborn, Trainable"/>
    <n v="1750"/>
    <m/>
    <n v="6"/>
    <m/>
    <n v="1"/>
    <x v="0"/>
    <x v="116"/>
    <n v="74"/>
    <n v="74"/>
    <x v="0"/>
  </r>
  <r>
    <x v="159"/>
    <m/>
    <x v="8"/>
    <s v="Southern"/>
    <x v="14"/>
    <s v="Active, Affectionate, Alert, Gentle, Lively"/>
    <n v="3000"/>
    <m/>
    <n v="3"/>
    <m/>
    <m/>
    <x v="0"/>
    <x v="2"/>
    <n v="45"/>
    <n v="45"/>
    <x v="0"/>
  </r>
  <r>
    <x v="160"/>
    <s v="Newfoundland"/>
    <x v="4"/>
    <s v="Guardian"/>
    <x v="56"/>
    <s v="Cheerful, Courageous, Intelligent, Loyal, Social, Sweet, Gentle"/>
    <n v="1750"/>
    <n v="34"/>
    <n v="5"/>
    <m/>
    <m/>
    <x v="0"/>
    <x v="117"/>
    <n v="22"/>
    <n v="22"/>
    <x v="1"/>
  </r>
  <r>
    <x v="161"/>
    <m/>
    <x v="3"/>
    <s v="Terrier"/>
    <x v="9"/>
    <s v="Companionable, Fearless, Happy, Lovable, Self-confident, Spirited, Intelligent"/>
    <n v="2250"/>
    <n v="56"/>
    <n v="3"/>
    <m/>
    <m/>
    <x v="0"/>
    <x v="118"/>
    <n v="14"/>
    <n v="14"/>
    <x v="0"/>
  </r>
  <r>
    <x v="162"/>
    <m/>
    <x v="6"/>
    <s v="Northern"/>
    <x v="10"/>
    <s v="Agile, Courageous, Energetic, Friendly, Fun-loving"/>
    <n v="900"/>
    <m/>
    <n v="4"/>
    <m/>
    <m/>
    <x v="0"/>
    <x v="119"/>
    <n v="12"/>
    <n v="12"/>
    <x v="0"/>
  </r>
  <r>
    <x v="163"/>
    <m/>
    <x v="7"/>
    <s v="Northern"/>
    <x v="3"/>
    <s v="Alert, Bold, Hardy, Loyal, Playful, Strong-willed, Intelligent"/>
    <n v="600"/>
    <n v="36"/>
    <n v="6"/>
    <m/>
    <m/>
    <x v="0"/>
    <x v="120"/>
    <n v="110"/>
    <n v="110"/>
    <x v="0"/>
  </r>
  <r>
    <x v="164"/>
    <m/>
    <x v="5"/>
    <s v="Northern"/>
    <x v="8"/>
    <s v="Alert, Energetic, Loyal, Protective"/>
    <n v="500"/>
    <m/>
    <n v="4"/>
    <m/>
    <m/>
    <x v="0"/>
    <x v="121"/>
    <n v="153"/>
    <n v="153"/>
    <x v="0"/>
  </r>
  <r>
    <x v="165"/>
    <m/>
    <x v="3"/>
    <s v="Terrier"/>
    <x v="9"/>
    <s v="Affectionate, Energetic, Hardy, Intelligent, Sensitive"/>
    <n v="1700"/>
    <n v="38"/>
    <n v="3"/>
    <m/>
    <m/>
    <x v="0"/>
    <x v="122"/>
    <n v="89"/>
    <n v="89"/>
    <x v="0"/>
  </r>
  <r>
    <x v="166"/>
    <m/>
    <x v="1"/>
    <s v="Gun Dogs"/>
    <x v="51"/>
    <s v="Affectionate, Alert, Courageous, Energetic, Gentle, Playful, Responsive"/>
    <n v="1900"/>
    <m/>
    <n v="5"/>
    <m/>
    <m/>
    <x v="0"/>
    <x v="123"/>
    <n v="76"/>
    <n v="76"/>
    <x v="1"/>
  </r>
  <r>
    <x v="167"/>
    <m/>
    <x v="6"/>
    <s v="Herding"/>
    <x v="57"/>
    <s v="Adaptable, Bubbly, Intelligent, Loving, Playful, Sociable, Protective"/>
    <n v="1350"/>
    <n v="63"/>
    <n v="4"/>
    <m/>
    <m/>
    <x v="0"/>
    <x v="124"/>
    <n v="53"/>
    <n v="53"/>
    <x v="1"/>
  </r>
  <r>
    <x v="168"/>
    <m/>
    <x v="7"/>
    <s v="Scenthound"/>
    <x v="27"/>
    <s v="Amiable, Boisterous, Even-tempered"/>
    <n v="550"/>
    <n v="46"/>
    <n v="2"/>
    <m/>
    <m/>
    <x v="0"/>
    <x v="125"/>
    <n v="49"/>
    <n v="49"/>
    <x v="0"/>
  </r>
  <r>
    <x v="169"/>
    <m/>
    <x v="0"/>
    <s v="Companion"/>
    <x v="9"/>
    <s v="Alert, Energetic, Friendly, Happy, Hardy, Intelligent"/>
    <n v="500"/>
    <n v="8"/>
    <n v="3"/>
    <m/>
    <m/>
    <x v="0"/>
    <x v="126"/>
    <n v="22"/>
    <n v="22"/>
    <x v="0"/>
  </r>
  <r>
    <x v="170"/>
    <m/>
    <x v="3"/>
    <s v="Terrier"/>
    <x v="40"/>
    <s v="Bold, Confident, Energetic, Friendly, Inquisitive, Intelligent"/>
    <n v="600"/>
    <m/>
    <n v="3"/>
    <m/>
    <m/>
    <x v="0"/>
    <x v="2"/>
    <n v="27"/>
    <n v="27"/>
    <x v="0"/>
  </r>
  <r>
    <x v="171"/>
    <m/>
    <x v="0"/>
    <s v="Companion"/>
    <x v="0"/>
    <s v="Affectionate, Aggressive, Good-natured, Intelligent, Opinionated, Stubborn"/>
    <n v="700"/>
    <n v="73"/>
    <n v="3"/>
    <m/>
    <m/>
    <x v="0"/>
    <x v="127"/>
    <n v="26"/>
    <n v="26"/>
    <x v="0"/>
  </r>
  <r>
    <x v="172"/>
    <m/>
    <x v="7"/>
    <s v="Sight"/>
    <x v="37"/>
    <s v="Affectionate, Alert, Intelligent, Lively, Noble, Protective"/>
    <n v="500"/>
    <m/>
    <n v="4"/>
    <m/>
    <m/>
    <x v="0"/>
    <x v="2"/>
    <n v="14"/>
    <n v="14"/>
    <x v="1"/>
  </r>
  <r>
    <x v="173"/>
    <m/>
    <x v="7"/>
    <s v="Scenthound"/>
    <x v="10"/>
    <s v="Active, Extroverted, Friendly, Happy, Independent, Lively, Intelligent"/>
    <n v="1400"/>
    <n v="62"/>
    <n v="3"/>
    <m/>
    <m/>
    <x v="0"/>
    <x v="128"/>
    <n v="21"/>
    <n v="21"/>
    <x v="1"/>
  </r>
  <r>
    <x v="174"/>
    <m/>
    <x v="7"/>
    <s v="Sight"/>
    <x v="2"/>
    <s v="Active, Affectionate, Intelligent, Playful, Sociable, Trainable"/>
    <n v="1900"/>
    <n v="37"/>
    <n v="2"/>
    <m/>
    <m/>
    <x v="0"/>
    <x v="129"/>
    <n v="341"/>
    <n v="341"/>
    <x v="0"/>
  </r>
  <r>
    <x v="175"/>
    <m/>
    <x v="3"/>
    <s v="Terrier"/>
    <x v="2"/>
    <s v="Affectionate, Aggressive, Clownish, Courageous, Friendly, Intelligent, Loyal, Obedient, Strong-willed, Stubborn"/>
    <n v="600"/>
    <m/>
    <n v="3"/>
    <m/>
    <n v="1"/>
    <x v="0"/>
    <x v="2"/>
    <n v="205"/>
    <n v="205"/>
    <x v="1"/>
  </r>
  <r>
    <x v="176"/>
    <m/>
    <x v="7"/>
    <s v="Scenthound"/>
    <x v="3"/>
    <s v="Alert, Bold, Courageous, Loyal"/>
    <n v="400"/>
    <m/>
    <n v="3"/>
    <m/>
    <m/>
    <x v="0"/>
    <x v="130"/>
    <n v="76"/>
    <n v="76"/>
    <x v="1"/>
  </r>
  <r>
    <x v="177"/>
    <m/>
    <x v="7"/>
    <s v="Sight"/>
    <x v="9"/>
    <s v="Active, Companionable, Friendly, Hardy, Lively, Loyal"/>
    <n v="900"/>
    <m/>
    <n v="3"/>
    <m/>
    <m/>
    <x v="0"/>
    <x v="131"/>
    <n v="371"/>
    <n v="371"/>
    <x v="0"/>
  </r>
  <r>
    <x v="178"/>
    <m/>
    <x v="1"/>
    <s v="Gun"/>
    <x v="36"/>
    <s v="Active, Affectionate, Amiable, Even-tempered, Kind, Loyal, Intelligent"/>
    <n v="450"/>
    <n v="43"/>
    <n v="4"/>
    <m/>
    <m/>
    <x v="0"/>
    <x v="67"/>
    <n v="235"/>
    <n v="235"/>
    <x v="0"/>
  </r>
  <r>
    <x v="179"/>
    <m/>
    <x v="6"/>
    <s v="Herding"/>
    <x v="44"/>
    <s v="Agile, Even-tempered, Lively, Perceptive, Self-confident"/>
    <n v="1750"/>
    <m/>
    <n v="6"/>
    <m/>
    <m/>
    <x v="0"/>
    <x v="132"/>
    <n v="79"/>
    <n v="79"/>
    <x v="1"/>
  </r>
  <r>
    <x v="180"/>
    <m/>
    <x v="0"/>
    <s v="Companion"/>
    <x v="35"/>
    <s v="Active, Extroverted, Friendly, Intelligent, Lively, Playful, Sociable"/>
    <n v="700"/>
    <n v="23"/>
    <n v="3"/>
    <m/>
    <m/>
    <x v="3"/>
    <x v="133"/>
    <n v="10"/>
    <n v="10"/>
    <x v="0"/>
  </r>
  <r>
    <x v="181"/>
    <m/>
    <x v="5"/>
    <s v="Gun"/>
    <x v="3"/>
    <s v="Active, Alert, Faithful, Instinctual, Intelligent, Trainable"/>
    <n v="1250"/>
    <n v="2"/>
    <n v="4"/>
    <m/>
    <m/>
    <x v="4"/>
    <x v="134"/>
    <n v="12"/>
    <n v="12"/>
    <x v="0"/>
  </r>
  <r>
    <x v="182"/>
    <m/>
    <x v="5"/>
    <s v="Gun"/>
    <x v="3"/>
    <s v="Active, Alert, Faithful, Instinctual, Intelligent, Trainable"/>
    <n v="1250"/>
    <n v="2"/>
    <n v="4"/>
    <m/>
    <m/>
    <x v="0"/>
    <x v="134"/>
    <n v="54"/>
    <n v="54"/>
    <x v="0"/>
  </r>
  <r>
    <x v="183"/>
    <m/>
    <x v="0"/>
    <s v="Companion"/>
    <x v="8"/>
    <s v="Active, Alert, Faithful, Instinctual, Intelligent, Trainable"/>
    <n v="1250"/>
    <n v="2"/>
    <n v="4"/>
    <m/>
    <m/>
    <x v="0"/>
    <x v="2"/>
    <n v="345"/>
    <n v="345"/>
    <x v="0"/>
  </r>
  <r>
    <x v="184"/>
    <m/>
    <x v="0"/>
    <s v="Companion"/>
    <x v="0"/>
    <s v="Active, Alert, Faithful, Instinctual, Intelligent, Trainable"/>
    <n v="1250"/>
    <n v="2"/>
    <n v="4"/>
    <m/>
    <m/>
    <x v="0"/>
    <x v="2"/>
    <n v="521"/>
    <n v="521"/>
    <x v="0"/>
  </r>
  <r>
    <x v="185"/>
    <m/>
    <x v="4"/>
    <s v="Gun"/>
    <x v="49"/>
    <s v="Brave, Docile, Impetuous, Intelligent, Obedient, Quarrelsome"/>
    <n v="2650"/>
    <m/>
    <n v="4"/>
    <m/>
    <m/>
    <x v="0"/>
    <x v="135"/>
    <n v="526"/>
    <n v="526"/>
    <x v="0"/>
  </r>
  <r>
    <x v="186"/>
    <m/>
    <x v="4"/>
    <s v="Guardian"/>
    <x v="6"/>
    <s v="Calm, Dominant, Gentle, Strong-willed, Suspicious"/>
    <n v="2100"/>
    <m/>
    <n v="6"/>
    <n v="1"/>
    <m/>
    <x v="0"/>
    <x v="2"/>
    <n v="72"/>
    <n v="72"/>
    <x v="0"/>
  </r>
  <r>
    <x v="187"/>
    <m/>
    <x v="0"/>
    <s v="Companion"/>
    <x v="8"/>
    <s v="Affectionate, Cheerful, Courageous, Gentle, Intelligent, Friendly, Outgoing, Playful, Loyal"/>
    <n v="400"/>
    <n v="57"/>
    <n v="3"/>
    <m/>
    <m/>
    <x v="0"/>
    <x v="136"/>
    <n v="28"/>
    <n v="28"/>
    <x v="0"/>
  </r>
  <r>
    <x v="188"/>
    <m/>
    <x v="6"/>
    <s v="Herding"/>
    <x v="43"/>
    <s v="Agile, Energetic, Faithful, Intelligent, Loyal, Obedient"/>
    <n v="1100"/>
    <n v="27"/>
    <n v="5"/>
    <m/>
    <m/>
    <x v="0"/>
    <x v="137"/>
    <n v="96"/>
    <n v="96"/>
    <x v="1"/>
  </r>
  <r>
    <x v="189"/>
    <m/>
    <x v="6"/>
    <s v="Herding"/>
    <x v="39"/>
    <s v="Active, Intelligent, Lively, Protective, Reserved, Vocal"/>
    <n v="2750"/>
    <m/>
    <n v="3"/>
    <m/>
    <m/>
    <x v="0"/>
    <x v="138"/>
    <n v="65"/>
    <n v="65"/>
    <x v="0"/>
  </r>
  <r>
    <x v="190"/>
    <m/>
    <x v="3"/>
    <s v="Terrier"/>
    <x v="14"/>
    <s v="Affectioante, Alert, Inquisitive, Lively, Loving"/>
    <n v="400"/>
    <m/>
    <n v="3"/>
    <m/>
    <m/>
    <x v="0"/>
    <x v="139"/>
    <n v="14"/>
    <n v="14"/>
    <x v="0"/>
  </r>
  <r>
    <x v="191"/>
    <s v="Redbone"/>
    <x v="7"/>
    <s v="Scenthound"/>
    <x v="1"/>
    <s v="Affectionate, Companionable, Energetic, Familial, Independent, Unflappable"/>
    <n v="700"/>
    <m/>
    <n v="1"/>
    <m/>
    <m/>
    <x v="0"/>
    <x v="140"/>
    <n v="15"/>
    <n v="15"/>
    <x v="0"/>
  </r>
  <r>
    <x v="192"/>
    <m/>
    <x v="1"/>
    <s v="Gun"/>
    <x v="17"/>
    <s v="Confident, Friendly, Intelligent, Kind, Reliable, Trustworthy"/>
    <n v="1500"/>
    <n v="4"/>
    <n v="3"/>
    <m/>
    <m/>
    <x v="0"/>
    <x v="85"/>
    <n v="119"/>
    <n v="119"/>
    <x v="1"/>
  </r>
  <r>
    <x v="193"/>
    <m/>
    <x v="7"/>
    <s v="Sight"/>
    <x v="57"/>
    <s v="Dignified, Intelligent, Loyal, Mischevious, Sensitive, Strong-willed"/>
    <n v="1150"/>
    <n v="52"/>
    <n v="3"/>
    <m/>
    <m/>
    <x v="0"/>
    <x v="141"/>
    <n v="230"/>
    <n v="230"/>
    <x v="0"/>
  </r>
  <r>
    <x v="194"/>
    <m/>
    <x v="4"/>
    <s v="Guardian"/>
    <x v="20"/>
    <s v="Alert, Courageous, Fearless, Good-natured, Independent, Intelligent, Loyal, Protective"/>
    <n v="1600"/>
    <n v="9"/>
    <n v="6"/>
    <n v="1"/>
    <m/>
    <x v="5"/>
    <x v="142"/>
    <n v="121"/>
    <n v="121"/>
    <x v="0"/>
  </r>
  <r>
    <x v="195"/>
    <m/>
    <x v="4"/>
    <s v="Guardian"/>
    <x v="58"/>
    <s v="Friendly, Gentle, Independent, Intelligent, Outgoing, Quiet, Social"/>
    <n v="1650"/>
    <n v="65"/>
    <n v="3"/>
    <m/>
    <m/>
    <x v="0"/>
    <x v="143"/>
    <n v="147"/>
    <n v="147"/>
    <x v="0"/>
  </r>
  <r>
    <x v="196"/>
    <m/>
    <x v="7"/>
    <s v="Sight"/>
    <x v="13"/>
    <s v="Aloof, Intelligent, Quiet, Reserverd, Loyal"/>
    <n v="700"/>
    <n v="43"/>
    <n v="3"/>
    <m/>
    <m/>
    <x v="0"/>
    <x v="144"/>
    <n v="245"/>
    <n v="245"/>
    <x v="0"/>
  </r>
  <r>
    <x v="197"/>
    <m/>
    <x v="4"/>
    <s v="Northern"/>
    <x v="3"/>
    <s v="Alert, Lively, Friendly, Intelligent, Playful, Sociable, Stubborn"/>
    <n v="1350"/>
    <n v="33"/>
    <n v="4"/>
    <m/>
    <m/>
    <x v="0"/>
    <x v="145"/>
    <n v="128"/>
    <n v="128"/>
    <x v="0"/>
  </r>
  <r>
    <x v="198"/>
    <m/>
    <x v="4"/>
    <s v="Guardian"/>
    <x v="34"/>
    <s v="Independent, Calm, Devoted, Intelligent, Protective, Reliable"/>
    <n v="900"/>
    <m/>
    <n v="5"/>
    <m/>
    <m/>
    <x v="0"/>
    <x v="2"/>
    <n v="27"/>
    <n v="27"/>
    <x v="0"/>
  </r>
  <r>
    <x v="199"/>
    <m/>
    <x v="5"/>
    <s v="Companion"/>
    <x v="26"/>
    <s v="Agile, Confident, Curious, Faithful, Fearless, Independent, Intelligent"/>
    <n v="800"/>
    <n v="15"/>
    <n v="3"/>
    <m/>
    <m/>
    <x v="0"/>
    <x v="146"/>
    <n v="56"/>
    <n v="56"/>
    <x v="0"/>
  </r>
  <r>
    <x v="200"/>
    <m/>
    <x v="3"/>
    <s v="Companion"/>
    <x v="8"/>
    <s v="Devoted, Good-natured, Intelligent, Lively, Playful, Trainable"/>
    <n v="800"/>
    <m/>
    <m/>
    <m/>
    <m/>
    <x v="0"/>
    <x v="147"/>
    <n v="89"/>
    <n v="89"/>
    <x v="0"/>
  </r>
  <r>
    <x v="201"/>
    <s v="Standard Schnauzer"/>
    <x v="4"/>
    <s v="Herding"/>
    <x v="25"/>
    <s v="Devoted, Good-natured, Intelligent, Lively, Playful, Trainable"/>
    <n v="1350"/>
    <n v="18"/>
    <n v="4"/>
    <m/>
    <m/>
    <x v="6"/>
    <x v="148"/>
    <n v="95"/>
    <n v="95"/>
    <x v="0"/>
  </r>
  <r>
    <x v="109"/>
    <m/>
    <x v="4"/>
    <s v="Herding"/>
    <x v="38"/>
    <s v="Devoted, Good-natured, Intelligent, Lively, Playful, Trainable"/>
    <n v="1250"/>
    <m/>
    <m/>
    <m/>
    <m/>
    <x v="0"/>
    <x v="83"/>
    <n v="39"/>
    <n v="61"/>
    <x v="0"/>
  </r>
  <r>
    <x v="202"/>
    <m/>
    <x v="7"/>
    <s v="Sight"/>
    <x v="28"/>
    <s v="Dignified, Docile, Friendly, Gentle, Polite, Quiet"/>
    <n v="1100"/>
    <n v="47"/>
    <n v="1"/>
    <m/>
    <m/>
    <x v="0"/>
    <x v="149"/>
    <n v="72"/>
    <n v="72"/>
    <x v="0"/>
  </r>
  <r>
    <x v="203"/>
    <s v="Scotch Terrier"/>
    <x v="3"/>
    <s v="Terrier"/>
    <x v="16"/>
    <s v="Independent, Fiesty, Alert, Playful, Quick, Self-assured"/>
    <n v="900"/>
    <n v="65"/>
    <n v="3"/>
    <m/>
    <m/>
    <x v="0"/>
    <x v="150"/>
    <n v="26"/>
    <n v="26"/>
    <x v="0"/>
  </r>
  <r>
    <x v="204"/>
    <m/>
    <x v="3"/>
    <s v="Terrier"/>
    <x v="16"/>
    <s v="Alert, Calm, Even-tempered, Fearless, Friendly, Intelligent"/>
    <n v="900"/>
    <n v="56"/>
    <n v="3"/>
    <m/>
    <m/>
    <x v="0"/>
    <x v="151"/>
    <n v="38"/>
    <n v="38"/>
    <x v="0"/>
  </r>
  <r>
    <x v="205"/>
    <m/>
    <x v="1"/>
    <s v="Gun"/>
    <x v="29"/>
    <s v="Strong-willed, Mischevious, Gentle, Energetic, Intelligent"/>
    <n v="500"/>
    <n v="37"/>
    <n v="3"/>
    <m/>
    <m/>
    <x v="0"/>
    <x v="68"/>
    <n v="77"/>
    <n v="77"/>
    <x v="0"/>
  </r>
  <r>
    <x v="206"/>
    <m/>
    <x v="5"/>
    <s v="Northern"/>
    <x v="49"/>
    <s v="Affectionate, Devoted, Independent, Loving, Reserved, Suspicious"/>
    <n v="1100"/>
    <n v="51"/>
    <n v="3"/>
    <m/>
    <m/>
    <x v="0"/>
    <x v="152"/>
    <n v="11"/>
    <n v="11"/>
    <x v="0"/>
  </r>
  <r>
    <x v="207"/>
    <m/>
    <x v="6"/>
    <s v="Herding"/>
    <x v="57"/>
    <s v="Adaptable, Bubbly, Intelligent, Loving, Playful, Sociable, Protective"/>
    <n v="1350"/>
    <n v="63"/>
    <n v="4"/>
    <m/>
    <m/>
    <x v="0"/>
    <x v="124"/>
    <n v="101"/>
    <n v="101"/>
    <x v="1"/>
  </r>
  <r>
    <x v="208"/>
    <m/>
    <x v="6"/>
    <s v="Herding"/>
    <x v="31"/>
    <s v="Alert, Confident, Courageous, Curious, Intelligent, Loyal, Obedient, Watchful"/>
    <n v="1400"/>
    <n v="3"/>
    <n v="6"/>
    <m/>
    <m/>
    <x v="0"/>
    <x v="80"/>
    <n v="555"/>
    <n v="555"/>
    <x v="0"/>
  </r>
  <r>
    <x v="209"/>
    <s v="Shetland Sheepdog"/>
    <x v="6"/>
    <s v="Herding"/>
    <x v="16"/>
    <s v="Affectionate, Friendly, Gentle, Intelligent, Lively, Playful, Responsive"/>
    <n v="900"/>
    <n v="6"/>
    <n v="4"/>
    <m/>
    <m/>
    <x v="0"/>
    <x v="153"/>
    <n v="542"/>
    <n v="542"/>
    <x v="0"/>
  </r>
  <r>
    <x v="210"/>
    <m/>
    <x v="5"/>
    <s v="Companion"/>
    <x v="37"/>
    <s v="Alert, Charming, Confident, Faithful, Fearless, Keen, Outgoing"/>
    <n v="900"/>
    <m/>
    <n v="4"/>
    <m/>
    <m/>
    <x v="0"/>
    <x v="154"/>
    <n v="123"/>
    <n v="123"/>
    <x v="1"/>
  </r>
  <r>
    <x v="211"/>
    <m/>
    <x v="0"/>
    <s v="Companion"/>
    <x v="40"/>
    <s v="Active, Courageous, Friendly, Gentle, Happy, Intelligent, Lively, Outgoing, Playful"/>
    <n v="1000"/>
    <n v="70"/>
    <n v="3"/>
    <m/>
    <m/>
    <x v="7"/>
    <x v="155"/>
    <n v="105"/>
    <n v="105"/>
    <x v="0"/>
  </r>
  <r>
    <x v="212"/>
    <m/>
    <x v="4"/>
    <s v="Northern"/>
    <x v="50"/>
    <s v="Alert, Friendly, Gentle, Intelligent, Outgoing"/>
    <n v="950"/>
    <n v="45"/>
    <n v="1"/>
    <m/>
    <m/>
    <x v="8"/>
    <x v="93"/>
    <n v="107"/>
    <n v="107"/>
    <x v="0"/>
  </r>
  <r>
    <x v="213"/>
    <m/>
    <x v="0"/>
    <s v="Terrier"/>
    <x v="9"/>
    <s v="Alert, Friendly, Inquisitive, Joyful, Quick, Responsive, Intelligent"/>
    <n v="700"/>
    <n v="37"/>
    <n v="3"/>
    <m/>
    <m/>
    <x v="0"/>
    <x v="156"/>
    <n v="891"/>
    <n v="891"/>
    <x v="0"/>
  </r>
  <r>
    <x v="214"/>
    <m/>
    <x v="3"/>
    <s v="Terrier"/>
    <x v="25"/>
    <s v="Loyal, Fearless, Friendly, Good-tempered, Intelligent"/>
    <n v="800"/>
    <n v="55"/>
    <n v="4"/>
    <m/>
    <m/>
    <x v="0"/>
    <x v="157"/>
    <n v="397"/>
    <n v="397"/>
    <x v="0"/>
  </r>
  <r>
    <x v="215"/>
    <m/>
    <x v="7"/>
    <s v="Sight"/>
    <x v="1"/>
    <s v="Alert, Faithful, Intelligent, Sensitive, Independent, Playful, Sweet"/>
    <n v="900"/>
    <m/>
    <n v="5"/>
    <m/>
    <m/>
    <x v="0"/>
    <x v="158"/>
    <n v="675"/>
    <n v="675"/>
    <x v="0"/>
  </r>
  <r>
    <x v="216"/>
    <m/>
    <x v="3"/>
    <s v="Terrier"/>
    <x v="8"/>
    <s v="Active, Affectionate, Alert, Fearless, Intelligent, Playful"/>
    <n v="850"/>
    <n v="40"/>
    <n v="3"/>
    <m/>
    <m/>
    <x v="0"/>
    <x v="76"/>
    <n v="393"/>
    <n v="393"/>
    <x v="0"/>
  </r>
  <r>
    <x v="217"/>
    <m/>
    <x v="6"/>
    <s v="Herding"/>
    <x v="53"/>
    <s v="Active, Balanced, Courageous, Lively, Nervous"/>
    <n v="900"/>
    <m/>
    <n v="4"/>
    <m/>
    <m/>
    <x v="0"/>
    <x v="2"/>
    <n v="215"/>
    <n v="215"/>
    <x v="1"/>
  </r>
  <r>
    <x v="218"/>
    <m/>
    <x v="1"/>
    <s v="Gun"/>
    <x v="37"/>
    <s v="Even Tempered, Joyful, Merry, Outgoing, Intelligent, Sociable, Trusting"/>
    <n v="700"/>
    <n v="20"/>
    <n v="3"/>
    <m/>
    <m/>
    <x v="0"/>
    <x v="54"/>
    <n v="107"/>
    <n v="107"/>
    <x v="0"/>
  </r>
  <r>
    <x v="219"/>
    <m/>
    <x v="5"/>
    <s v="Northern"/>
    <x v="8"/>
    <s v="Alert, Energetic, Friendly, Independent, Intelligent, Protective"/>
    <n v="700"/>
    <m/>
    <n v="4"/>
    <m/>
    <m/>
    <x v="0"/>
    <x v="6"/>
    <n v="110"/>
    <n v="110"/>
    <x v="0"/>
  </r>
  <r>
    <x v="220"/>
    <s v="Staffordshire Bullterrier"/>
    <x v="3"/>
    <s v="Terrier"/>
    <x v="43"/>
    <s v="Affectionate, Bold, Courageous, Fearless, Intelligent, Reliable"/>
    <n v="1750"/>
    <n v="49"/>
    <n v="3"/>
    <m/>
    <n v="1"/>
    <x v="0"/>
    <x v="159"/>
    <n v="25"/>
    <n v="25"/>
    <x v="0"/>
  </r>
  <r>
    <x v="221"/>
    <m/>
    <x v="1"/>
    <s v="Gun"/>
    <x v="44"/>
    <s v="Calm, Cheerful, Companionable, Devoted, Friendly, Sociable"/>
    <n v="2500"/>
    <m/>
    <n v="3"/>
    <m/>
    <m/>
    <x v="0"/>
    <x v="160"/>
    <n v="87"/>
    <n v="87"/>
    <x v="1"/>
  </r>
  <r>
    <x v="222"/>
    <m/>
    <x v="6"/>
    <s v="Herding"/>
    <x v="39"/>
    <s v="Alert, Energetic, Fearless, Friendly, Watchful"/>
    <n v="800"/>
    <m/>
    <n v="4"/>
    <m/>
    <m/>
    <x v="0"/>
    <x v="161"/>
    <n v="45"/>
    <n v="45"/>
    <x v="0"/>
  </r>
  <r>
    <x v="223"/>
    <m/>
    <x v="3"/>
    <s v="Terrier"/>
    <x v="8"/>
    <s v="Affectionate, Alert, Courageous, Intelligent, Friendly, Hardy, Independent"/>
    <n v="1050"/>
    <n v="47"/>
    <n v="3"/>
    <m/>
    <m/>
    <x v="0"/>
    <x v="162"/>
    <n v="55"/>
    <n v="55"/>
    <x v="0"/>
  </r>
  <r>
    <x v="224"/>
    <m/>
    <x v="7"/>
    <s v="Sight"/>
    <x v="1"/>
    <s v="Familial, Independent, Loving, Loyal, Protective"/>
    <n v="700"/>
    <m/>
    <n v="2"/>
    <m/>
    <m/>
    <x v="0"/>
    <x v="2"/>
    <n v="23"/>
    <n v="23"/>
    <x v="1"/>
  </r>
  <r>
    <x v="225"/>
    <m/>
    <x v="4"/>
    <s v="Guardian"/>
    <x v="59"/>
    <s v="Aloof, Protective, Strong-willed, Stubborn, Courageous, Loyal"/>
    <n v="3000"/>
    <m/>
    <n v="6"/>
    <m/>
    <m/>
    <x v="0"/>
    <x v="163"/>
    <n v="45"/>
    <n v="45"/>
    <x v="0"/>
  </r>
  <r>
    <x v="226"/>
    <m/>
    <x v="5"/>
    <s v="Companion"/>
    <x v="40"/>
    <s v="Intelligent, Assertive, Aloof, Happy, Independent, Willful"/>
    <n v="900"/>
    <n v="46"/>
    <n v="4"/>
    <m/>
    <m/>
    <x v="0"/>
    <x v="164"/>
    <n v="101"/>
    <n v="101"/>
    <x v="0"/>
  </r>
  <r>
    <x v="227"/>
    <m/>
    <x v="5"/>
    <s v="Companion"/>
    <x v="37"/>
    <s v="Affectionate, Amiable, Energetic, Gentle, Reserved, Sensitive, Intelligent"/>
    <n v="1600"/>
    <n v="62"/>
    <n v="3"/>
    <m/>
    <m/>
    <x v="0"/>
    <x v="165"/>
    <n v="115"/>
    <n v="115"/>
    <x v="0"/>
  </r>
  <r>
    <x v="228"/>
    <m/>
    <x v="4"/>
    <s v="Guardian"/>
    <x v="56"/>
    <s v="Aggressive, Brave, Fearless, Intelligent, Sensitive, Suspicious"/>
    <n v="700"/>
    <m/>
    <n v="6"/>
    <m/>
    <n v="1"/>
    <x v="0"/>
    <x v="2"/>
    <n v="309"/>
    <n v="309"/>
    <x v="1"/>
  </r>
  <r>
    <x v="229"/>
    <s v="Toy Terrier"/>
    <x v="0"/>
    <s v="Terrier"/>
    <x v="35"/>
    <s v="Alert, Friendly, Intelligent, Loyal, Playful, Spirited"/>
    <n v="500"/>
    <m/>
    <n v="2"/>
    <m/>
    <m/>
    <x v="0"/>
    <x v="166"/>
    <n v="250"/>
    <n v="250"/>
    <x v="0"/>
  </r>
  <r>
    <x v="230"/>
    <s v="Walker Hound"/>
    <x v="7"/>
    <s v="Scenthound"/>
    <x v="1"/>
    <s v="Affectionate, Clever, Confident, Loving, Trainable"/>
    <n v="500"/>
    <m/>
    <n v="3"/>
    <m/>
    <m/>
    <x v="0"/>
    <x v="167"/>
    <n v="301"/>
    <n v="301"/>
    <x v="0"/>
  </r>
  <r>
    <x v="231"/>
    <m/>
    <x v="1"/>
    <s v="Gun"/>
    <x v="13"/>
    <s v="Affectionate, Cheerful, Energetic, Gentle, Intelligent, Playful, Protective, Quiet"/>
    <n v="1000"/>
    <m/>
    <n v="3"/>
    <m/>
    <m/>
    <x v="0"/>
    <x v="168"/>
    <n v="256"/>
    <n v="256"/>
    <x v="1"/>
  </r>
  <r>
    <x v="232"/>
    <m/>
    <x v="1"/>
    <s v="Gun"/>
    <x v="46"/>
    <s v="Alert, Aloof, Energetic, Fast, Intelligent, Powerful, Steady, Stubborn, Social"/>
    <n v="1750"/>
    <n v="21"/>
    <n v="3"/>
    <m/>
    <m/>
    <x v="0"/>
    <x v="169"/>
    <n v="22"/>
    <n v="22"/>
    <x v="1"/>
  </r>
  <r>
    <x v="233"/>
    <m/>
    <x v="6"/>
    <s v="Herding"/>
    <x v="39"/>
    <s v="Active, Affectionate, Alert, Companionable, Devoted, Gentle, Intelligent"/>
    <n v="1100"/>
    <n v="26"/>
    <n v="4"/>
    <m/>
    <m/>
    <x v="0"/>
    <x v="56"/>
    <n v="21"/>
    <n v="21"/>
    <x v="0"/>
  </r>
  <r>
    <x v="234"/>
    <m/>
    <x v="6"/>
    <s v="Herding"/>
    <x v="10"/>
    <s v="Active, Affectionate, Alert, Companionable, Devoted, Gentle, Intelligent"/>
    <n v="1100"/>
    <n v="26"/>
    <n v="4"/>
    <m/>
    <m/>
    <x v="0"/>
    <x v="56"/>
    <n v="14"/>
    <n v="14"/>
    <x v="1"/>
  </r>
  <r>
    <x v="235"/>
    <m/>
    <x v="6"/>
    <s v="Herding"/>
    <x v="45"/>
    <s v="Active, Affectionate, Alert, Companionable, Devoted, Gentle, Intelligent"/>
    <n v="1100"/>
    <n v="26"/>
    <n v="4"/>
    <m/>
    <m/>
    <x v="0"/>
    <x v="56"/>
    <n v="14"/>
    <n v="14"/>
    <x v="1"/>
  </r>
  <r>
    <x v="236"/>
    <m/>
    <x v="1"/>
    <s v="Gun"/>
    <x v="22"/>
    <s v="Affectionate, Loyal, Active, Friendly, Playful, Stubborn, Intelligent"/>
    <n v="1300"/>
    <n v="31"/>
    <n v="4"/>
    <m/>
    <m/>
    <x v="0"/>
    <x v="170"/>
    <n v="21"/>
    <n v="21"/>
    <x v="1"/>
  </r>
  <r>
    <x v="237"/>
    <m/>
    <x v="3"/>
    <s v="Terrier"/>
    <x v="16"/>
    <s v="Alert, Friendly, Intelligent, Spirited, Independent, Loving"/>
    <n v="1000"/>
    <n v="53"/>
    <n v="3"/>
    <m/>
    <m/>
    <x v="0"/>
    <x v="171"/>
    <n v="341"/>
    <n v="341"/>
    <x v="1"/>
  </r>
  <r>
    <x v="238"/>
    <s v="West Highland White Terrier"/>
    <x v="3"/>
    <s v="Terrier"/>
    <x v="8"/>
    <s v="Affectionate, Alert, Courageous, Intelligent, Friendly, Hardy, Independent"/>
    <n v="1050"/>
    <n v="47"/>
    <n v="3"/>
    <m/>
    <m/>
    <x v="0"/>
    <x v="162"/>
    <n v="205"/>
    <n v="205"/>
    <x v="0"/>
  </r>
  <r>
    <x v="239"/>
    <s v="Soft Coated Wheaten Terrier"/>
    <x v="3"/>
    <s v="Terrier"/>
    <x v="22"/>
    <s v="Affectionate, Energetic, Faithful, Intelligent, Playful, Spirited"/>
    <n v="900"/>
    <n v="40"/>
    <n v="4"/>
    <m/>
    <m/>
    <x v="0"/>
    <x v="172"/>
    <n v="76"/>
    <n v="76"/>
    <x v="1"/>
  </r>
  <r>
    <x v="240"/>
    <m/>
    <x v="7"/>
    <s v="Sight"/>
    <x v="10"/>
    <s v="Affectionate, Friendly, Gentle, Intelligent, Lively, Quiet"/>
    <n v="1000"/>
    <n v="51"/>
    <n v="3"/>
    <m/>
    <m/>
    <x v="0"/>
    <x v="173"/>
    <n v="371"/>
    <n v="371"/>
    <x v="1"/>
  </r>
  <r>
    <x v="241"/>
    <m/>
    <x v="6"/>
    <s v="Herding"/>
    <x v="31"/>
    <s v="Alert, Confident, Courageous, Curious, Intelligent, Loyal, Obedient, Watchful"/>
    <n v="1400"/>
    <n v="3"/>
    <n v="6"/>
    <m/>
    <m/>
    <x v="0"/>
    <x v="80"/>
    <n v="38"/>
    <n v="38"/>
    <x v="1"/>
  </r>
  <r>
    <x v="242"/>
    <s v="Wire Haired Fox Terrier"/>
    <x v="3"/>
    <s v="Terrier"/>
    <x v="26"/>
    <s v="Alert, Bold, Fearless, Friendly, Keen, Quick, Intelligent"/>
    <n v="900"/>
    <n v="51"/>
    <n v="3"/>
    <m/>
    <m/>
    <x v="0"/>
    <x v="174"/>
    <n v="76"/>
    <n v="76"/>
    <x v="0"/>
  </r>
  <r>
    <x v="243"/>
    <m/>
    <x v="1"/>
    <s v="Gun"/>
    <x v="36"/>
    <s v="Gentle, Loyal, Proud, Trainable, Vigilant, Intelligent"/>
    <n v="700"/>
    <n v="46"/>
    <n v="5"/>
    <m/>
    <m/>
    <x v="0"/>
    <x v="175"/>
    <n v="21"/>
    <n v="21"/>
    <x v="0"/>
  </r>
  <r>
    <x v="244"/>
    <m/>
    <x v="3"/>
    <s v="Terrier"/>
    <x v="26"/>
    <s v="Alert, Bold, Fearless, Friendly, Keen, Quick, Intelligent"/>
    <n v="900"/>
    <n v="51"/>
    <n v="3"/>
    <m/>
    <m/>
    <x v="0"/>
    <x v="174"/>
    <n v="26"/>
    <n v="26"/>
    <x v="0"/>
  </r>
  <r>
    <x v="245"/>
    <s v="Mexican Hairless"/>
    <x v="5"/>
    <s v="Sight"/>
    <x v="14"/>
    <s v="Aleret, Calm, Cheerful, Companionable, Loyal, Protective"/>
    <n v="700"/>
    <m/>
    <n v="3"/>
    <m/>
    <m/>
    <x v="0"/>
    <x v="176"/>
    <n v="90"/>
    <n v="90"/>
    <x v="0"/>
  </r>
  <r>
    <x v="246"/>
    <m/>
    <x v="1"/>
    <s v="Gun"/>
    <x v="17"/>
    <s v="Affectionate, Alert, Cheerful, Energetic, Friendly, Gentle, Intelligent, Loving, Loyal, Outgoing, Playful, Responsive, Social"/>
    <n v="1500"/>
    <n v="7"/>
    <n v="3"/>
    <m/>
    <m/>
    <x v="0"/>
    <x v="26"/>
    <n v="123"/>
    <n v="123"/>
    <x v="0"/>
  </r>
  <r>
    <x v="247"/>
    <s v="Yorkshire Terrier"/>
    <x v="0"/>
    <s v="Companion"/>
    <x v="24"/>
    <s v="Alert, Courageous, Energetic, Independent, Intelligent, Loyal, Playful"/>
    <n v="800"/>
    <n v="27"/>
    <n v="3"/>
    <m/>
    <m/>
    <x v="0"/>
    <x v="177"/>
    <n v="77"/>
    <n v="77"/>
    <x v="1"/>
  </r>
  <r>
    <x v="248"/>
    <m/>
    <x v="2"/>
    <m/>
    <x v="60"/>
    <m/>
    <m/>
    <m/>
    <m/>
    <m/>
    <m/>
    <x v="0"/>
    <x v="2"/>
    <n v="95"/>
    <n v="9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6C57C9-AF0E-4916-9636-D0F95EB4A566}"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5" firstHeaderRow="1" firstDataRow="1" firstDataCol="1"/>
  <pivotFields count="16">
    <pivotField dataField="1" showAll="0">
      <items count="2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234"/>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83"/>
        <item x="200"/>
        <item x="248"/>
        <item x="155"/>
        <item x="156"/>
        <item x="157"/>
        <item x="158"/>
        <item x="159"/>
        <item x="160"/>
        <item x="161"/>
        <item x="162"/>
        <item x="163"/>
        <item x="164"/>
        <item x="165"/>
        <item x="166"/>
        <item x="167"/>
        <item x="168"/>
        <item x="169"/>
        <item x="170"/>
        <item x="171"/>
        <item x="235"/>
        <item x="172"/>
        <item x="173"/>
        <item x="174"/>
        <item x="175"/>
        <item x="176"/>
        <item x="177"/>
        <item x="178"/>
        <item x="179"/>
        <item x="180"/>
        <item x="181"/>
        <item x="185"/>
        <item x="186"/>
        <item x="187"/>
        <item x="188"/>
        <item x="189"/>
        <item x="190"/>
        <item x="191"/>
        <item x="192"/>
        <item x="193"/>
        <item x="194"/>
        <item x="195"/>
        <item x="196"/>
        <item x="197"/>
        <item x="198"/>
        <item x="199"/>
        <item x="201"/>
        <item x="202"/>
        <item x="203"/>
        <item x="204"/>
        <item x="205"/>
        <item x="206"/>
        <item x="207"/>
        <item x="208"/>
        <item x="209"/>
        <item x="210"/>
        <item x="211"/>
        <item x="212"/>
        <item x="213"/>
        <item x="214"/>
        <item x="215"/>
        <item x="216"/>
        <item x="217"/>
        <item x="218"/>
        <item x="219"/>
        <item x="220"/>
        <item x="182"/>
        <item x="221"/>
        <item x="222"/>
        <item x="223"/>
        <item x="224"/>
        <item x="225"/>
        <item x="226"/>
        <item x="227"/>
        <item x="228"/>
        <item x="229"/>
        <item x="184"/>
        <item x="230"/>
        <item x="231"/>
        <item x="232"/>
        <item x="233"/>
        <item x="236"/>
        <item x="237"/>
        <item x="238"/>
        <item x="239"/>
        <item x="240"/>
        <item x="241"/>
        <item x="242"/>
        <item x="243"/>
        <item x="244"/>
        <item x="245"/>
        <item x="246"/>
        <item x="247"/>
        <item t="default"/>
      </items>
    </pivotField>
    <pivotField showAll="0"/>
    <pivotField showAll="0">
      <items count="10">
        <item x="6"/>
        <item x="7"/>
        <item x="5"/>
        <item x="8"/>
        <item x="1"/>
        <item x="3"/>
        <item x="0"/>
        <item x="4"/>
        <item x="2"/>
        <item t="default"/>
      </items>
    </pivotField>
    <pivotField showAll="0"/>
    <pivotField showAll="0">
      <items count="62">
        <item x="35"/>
        <item x="24"/>
        <item x="0"/>
        <item x="9"/>
        <item x="40"/>
        <item x="26"/>
        <item x="8"/>
        <item x="16"/>
        <item x="37"/>
        <item x="14"/>
        <item x="45"/>
        <item x="39"/>
        <item x="43"/>
        <item x="30"/>
        <item x="10"/>
        <item x="25"/>
        <item x="22"/>
        <item x="44"/>
        <item x="51"/>
        <item x="13"/>
        <item x="49"/>
        <item x="2"/>
        <item x="50"/>
        <item x="36"/>
        <item x="3"/>
        <item x="12"/>
        <item x="1"/>
        <item x="46"/>
        <item x="29"/>
        <item x="38"/>
        <item x="17"/>
        <item x="34"/>
        <item x="18"/>
        <item x="31"/>
        <item x="7"/>
        <item x="57"/>
        <item x="6"/>
        <item x="27"/>
        <item x="28"/>
        <item x="41"/>
        <item x="5"/>
        <item x="48"/>
        <item x="21"/>
        <item x="32"/>
        <item x="53"/>
        <item x="15"/>
        <item x="20"/>
        <item x="11"/>
        <item x="4"/>
        <item x="19"/>
        <item x="52"/>
        <item x="42"/>
        <item x="33"/>
        <item x="54"/>
        <item x="56"/>
        <item x="58"/>
        <item x="59"/>
        <item x="47"/>
        <item x="23"/>
        <item x="55"/>
        <item x="60"/>
        <item t="default"/>
      </items>
    </pivotField>
    <pivotField showAll="0"/>
    <pivotField showAll="0"/>
    <pivotField showAll="0"/>
    <pivotField showAll="0"/>
    <pivotField showAll="0"/>
    <pivotField showAll="0"/>
    <pivotField showAll="0">
      <items count="10">
        <item x="4"/>
        <item x="7"/>
        <item x="6"/>
        <item x="3"/>
        <item x="8"/>
        <item x="2"/>
        <item x="5"/>
        <item x="1"/>
        <item x="0"/>
        <item t="default"/>
      </items>
    </pivotField>
    <pivotField showAll="0">
      <items count="179">
        <item x="26"/>
        <item x="80"/>
        <item x="85"/>
        <item x="78"/>
        <item x="64"/>
        <item x="16"/>
        <item x="134"/>
        <item x="142"/>
        <item x="177"/>
        <item x="81"/>
        <item x="36"/>
        <item x="93"/>
        <item x="59"/>
        <item x="87"/>
        <item x="62"/>
        <item x="12"/>
        <item x="147"/>
        <item x="46"/>
        <item x="155"/>
        <item x="34"/>
        <item x="133"/>
        <item x="92"/>
        <item x="153"/>
        <item x="23"/>
        <item x="39"/>
        <item x="69"/>
        <item x="114"/>
        <item x="54"/>
        <item x="168"/>
        <item x="136"/>
        <item x="48"/>
        <item x="112"/>
        <item x="169"/>
        <item x="117"/>
        <item x="45"/>
        <item x="31"/>
        <item x="15"/>
        <item x="55"/>
        <item x="141"/>
        <item x="162"/>
        <item x="47"/>
        <item x="21"/>
        <item x="154"/>
        <item x="24"/>
        <item x="4"/>
        <item x="143"/>
        <item x="172"/>
        <item x="28"/>
        <item x="42"/>
        <item x="65"/>
        <item x="126"/>
        <item x="135"/>
        <item x="3"/>
        <item x="11"/>
        <item x="145"/>
        <item x="150"/>
        <item x="5"/>
        <item x="41"/>
        <item x="173"/>
        <item x="82"/>
        <item x="60"/>
        <item x="152"/>
        <item x="175"/>
        <item x="88"/>
        <item x="63"/>
        <item x="56"/>
        <item x="43"/>
        <item x="124"/>
        <item x="115"/>
        <item x="95"/>
        <item x="98"/>
        <item x="99"/>
        <item x="89"/>
        <item x="51"/>
        <item x="110"/>
        <item x="101"/>
        <item x="49"/>
        <item x="83"/>
        <item x="57"/>
        <item x="159"/>
        <item x="8"/>
        <item x="14"/>
        <item x="35"/>
        <item x="10"/>
        <item x="104"/>
        <item x="127"/>
        <item x="123"/>
        <item x="148"/>
        <item x="120"/>
        <item x="32"/>
        <item x="1"/>
        <item x="40"/>
        <item x="68"/>
        <item x="75"/>
        <item x="139"/>
        <item x="37"/>
        <item x="174"/>
        <item x="109"/>
        <item x="165"/>
        <item x="33"/>
        <item x="22"/>
        <item x="86"/>
        <item x="122"/>
        <item x="156"/>
        <item x="116"/>
        <item x="103"/>
        <item x="171"/>
        <item x="146"/>
        <item x="100"/>
        <item x="166"/>
        <item x="67"/>
        <item x="96"/>
        <item x="27"/>
        <item x="6"/>
        <item x="102"/>
        <item x="20"/>
        <item x="164"/>
        <item x="76"/>
        <item x="144"/>
        <item x="30"/>
        <item x="17"/>
        <item x="7"/>
        <item x="38"/>
        <item x="118"/>
        <item x="105"/>
        <item x="25"/>
        <item x="167"/>
        <item x="29"/>
        <item x="170"/>
        <item x="70"/>
        <item x="113"/>
        <item x="79"/>
        <item x="13"/>
        <item x="108"/>
        <item x="140"/>
        <item x="53"/>
        <item x="18"/>
        <item x="137"/>
        <item x="176"/>
        <item x="72"/>
        <item x="0"/>
        <item x="161"/>
        <item x="151"/>
        <item x="19"/>
        <item x="71"/>
        <item x="163"/>
        <item x="90"/>
        <item x="107"/>
        <item x="84"/>
        <item x="131"/>
        <item x="128"/>
        <item x="160"/>
        <item x="138"/>
        <item x="106"/>
        <item x="97"/>
        <item x="94"/>
        <item x="130"/>
        <item x="9"/>
        <item x="149"/>
        <item x="111"/>
        <item x="119"/>
        <item x="58"/>
        <item x="157"/>
        <item x="73"/>
        <item x="129"/>
        <item x="44"/>
        <item x="132"/>
        <item x="74"/>
        <item x="66"/>
        <item x="50"/>
        <item x="61"/>
        <item x="91"/>
        <item x="52"/>
        <item x="125"/>
        <item x="77"/>
        <item x="158"/>
        <item x="121"/>
        <item x="2"/>
        <item t="default"/>
      </items>
    </pivotField>
    <pivotField showAll="0"/>
    <pivotField showAll="0"/>
    <pivotField axis="axisRow" showAll="0">
      <items count="3">
        <item x="1"/>
        <item x="0"/>
        <item t="default"/>
      </items>
    </pivotField>
  </pivotFields>
  <rowFields count="1">
    <field x="15"/>
  </rowFields>
  <rowItems count="3">
    <i>
      <x/>
    </i>
    <i>
      <x v="1"/>
    </i>
    <i t="grand">
      <x/>
    </i>
  </rowItems>
  <colItems count="1">
    <i/>
  </colItems>
  <dataFields count="1">
    <dataField name="Count of Breed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107F90-42FF-4FE7-AA29-413CFD8541B2}"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24" firstHeaderRow="1" firstDataRow="1" firstDataCol="1"/>
  <pivotFields count="15">
    <pivotField dataField="1" showAll="0"/>
    <pivotField showAll="0"/>
    <pivotField showAll="0"/>
    <pivotField axis="axisRow" showAll="0">
      <items count="12">
        <item x="0"/>
        <item x="4"/>
        <item x="7"/>
        <item x="10"/>
        <item x="5"/>
        <item x="6"/>
        <item x="8"/>
        <item x="1"/>
        <item x="9"/>
        <item x="3"/>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2">
    <i>
      <x/>
    </i>
    <i>
      <x v="1"/>
    </i>
    <i>
      <x v="2"/>
    </i>
    <i>
      <x v="3"/>
    </i>
    <i>
      <x v="4"/>
    </i>
    <i>
      <x v="5"/>
    </i>
    <i>
      <x v="6"/>
    </i>
    <i>
      <x v="7"/>
    </i>
    <i>
      <x v="8"/>
    </i>
    <i>
      <x v="9"/>
    </i>
    <i>
      <x v="10"/>
    </i>
    <i t="grand">
      <x/>
    </i>
  </rowItems>
  <colItems count="1">
    <i/>
  </colItems>
  <dataFields count="1">
    <dataField name="Count of Breed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3C8B23-3AD8-4439-9AFC-D4BC9EC1615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E8" firstHeaderRow="1" firstDataRow="1" firstDataCol="1"/>
  <pivotFields count="13">
    <pivotField dataField="1" showAll="0"/>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11"/>
  </rowFields>
  <rowItems count="3">
    <i>
      <x/>
    </i>
    <i>
      <x v="1"/>
    </i>
    <i t="grand">
      <x/>
    </i>
  </rowItems>
  <colItems count="1">
    <i/>
  </colItems>
  <dataFields count="1">
    <dataField name="Count of Breed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19137F-D9F3-4531-8E99-525F7B68EB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1">
    <pivotField dataField="1" showAll="0"/>
    <pivotField showAll="0"/>
    <pivotField showAll="0"/>
    <pivotField axis="axisRow" showAll="0">
      <items count="6">
        <item x="3"/>
        <item x="2"/>
        <item x="1"/>
        <item x="0"/>
        <item x="4"/>
        <item t="default"/>
      </items>
    </pivotField>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Breed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pCat" xr10:uid="{7E454873-3023-4054-A49E-6D8203DBA961}" sourceName="LapCat">
  <pivotTables>
    <pivotTable tabId="4" name="PivotTable4"/>
  </pivotTables>
  <data>
    <tabular pivotCacheId="1611550650">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1" xr10:uid="{9058DB9A-B483-44AD-A4FE-3236A559BBDD}" sourceName="Group1">
  <pivotTables>
    <pivotTable tabId="4" name="PivotTable9"/>
  </pivotTables>
  <data>
    <tabular pivotCacheId="2060593054">
      <items count="9">
        <i x="6" s="1"/>
        <i x="7" s="1"/>
        <i x="5" s="1"/>
        <i x="8" s="1"/>
        <i x="1" s="1"/>
        <i x="3"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aysiaPopularity" xr10:uid="{C46638AA-DB85-4BC7-93BB-2CEAD8DE1FFD}" sourceName="MalaysiaPopularity">
  <pivotTables>
    <pivotTable tabId="4" name="PivotTable9"/>
  </pivotTables>
  <data>
    <tabular pivotCacheId="2060593054">
      <items count="9">
        <i x="4" s="1"/>
        <i x="7" s="1"/>
        <i x="6" s="1"/>
        <i x="3" s="1"/>
        <i x="8" s="1"/>
        <i x="2" s="1"/>
        <i x="5"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pularityUS2017" xr10:uid="{4EC940CC-D59B-4585-B06E-35F01B7F33C8}" sourceName="PopularityUS2017">
  <pivotTables>
    <pivotTable tabId="4" name="PivotTable9"/>
  </pivotTables>
  <data>
    <tabular pivotCacheId="2060593054">
      <items count="178">
        <i x="26" s="1"/>
        <i x="80" s="1"/>
        <i x="85" s="1"/>
        <i x="78" s="1"/>
        <i x="64" s="1"/>
        <i x="16" s="1"/>
        <i x="134" s="1"/>
        <i x="142" s="1"/>
        <i x="177" s="1"/>
        <i x="81" s="1"/>
        <i x="36" s="1"/>
        <i x="93" s="1"/>
        <i x="59" s="1"/>
        <i x="87" s="1"/>
        <i x="62" s="1"/>
        <i x="12" s="1"/>
        <i x="147" s="1"/>
        <i x="46" s="1"/>
        <i x="155" s="1"/>
        <i x="34" s="1"/>
        <i x="133" s="1"/>
        <i x="92" s="1"/>
        <i x="153" s="1"/>
        <i x="23" s="1"/>
        <i x="39" s="1"/>
        <i x="69" s="1"/>
        <i x="114" s="1"/>
        <i x="54" s="1"/>
        <i x="168" s="1"/>
        <i x="136" s="1"/>
        <i x="48" s="1"/>
        <i x="112" s="1"/>
        <i x="169" s="1"/>
        <i x="117" s="1"/>
        <i x="45" s="1"/>
        <i x="31" s="1"/>
        <i x="15" s="1"/>
        <i x="55" s="1"/>
        <i x="141" s="1"/>
        <i x="162" s="1"/>
        <i x="47" s="1"/>
        <i x="21" s="1"/>
        <i x="154" s="1"/>
        <i x="24" s="1"/>
        <i x="4" s="1"/>
        <i x="143" s="1"/>
        <i x="172" s="1"/>
        <i x="28" s="1"/>
        <i x="42" s="1"/>
        <i x="65" s="1"/>
        <i x="126" s="1"/>
        <i x="135" s="1"/>
        <i x="3" s="1"/>
        <i x="11" s="1"/>
        <i x="145" s="1"/>
        <i x="150" s="1"/>
        <i x="5" s="1"/>
        <i x="41" s="1"/>
        <i x="173" s="1"/>
        <i x="82" s="1"/>
        <i x="60" s="1"/>
        <i x="152" s="1"/>
        <i x="175" s="1"/>
        <i x="88" s="1"/>
        <i x="63" s="1"/>
        <i x="56" s="1"/>
        <i x="43" s="1"/>
        <i x="124" s="1"/>
        <i x="115" s="1"/>
        <i x="95" s="1"/>
        <i x="98" s="1"/>
        <i x="99" s="1"/>
        <i x="89" s="1"/>
        <i x="51" s="1"/>
        <i x="110" s="1"/>
        <i x="101" s="1"/>
        <i x="49" s="1"/>
        <i x="83" s="1"/>
        <i x="57" s="1"/>
        <i x="159" s="1"/>
        <i x="8" s="1"/>
        <i x="14" s="1"/>
        <i x="35" s="1"/>
        <i x="10" s="1"/>
        <i x="104" s="1"/>
        <i x="127" s="1"/>
        <i x="123" s="1"/>
        <i x="148" s="1"/>
        <i x="120" s="1"/>
        <i x="32" s="1"/>
        <i x="1" s="1"/>
        <i x="40" s="1"/>
        <i x="68" s="1"/>
        <i x="75" s="1"/>
        <i x="139" s="1"/>
        <i x="37" s="1"/>
        <i x="174" s="1"/>
        <i x="109" s="1"/>
        <i x="165" s="1"/>
        <i x="33" s="1"/>
        <i x="22" s="1"/>
        <i x="86" s="1"/>
        <i x="122" s="1"/>
        <i x="156" s="1"/>
        <i x="116" s="1"/>
        <i x="103" s="1"/>
        <i x="171" s="1"/>
        <i x="146" s="1"/>
        <i x="100" s="1"/>
        <i x="166" s="1"/>
        <i x="67" s="1"/>
        <i x="96" s="1"/>
        <i x="27" s="1"/>
        <i x="6" s="1"/>
        <i x="102" s="1"/>
        <i x="20" s="1"/>
        <i x="164" s="1"/>
        <i x="76" s="1"/>
        <i x="144" s="1"/>
        <i x="30" s="1"/>
        <i x="17" s="1"/>
        <i x="7" s="1"/>
        <i x="38" s="1"/>
        <i x="118" s="1"/>
        <i x="105" s="1"/>
        <i x="25" s="1"/>
        <i x="167" s="1"/>
        <i x="29" s="1"/>
        <i x="170" s="1"/>
        <i x="70" s="1"/>
        <i x="113" s="1"/>
        <i x="79" s="1"/>
        <i x="13" s="1"/>
        <i x="108" s="1"/>
        <i x="140" s="1"/>
        <i x="53" s="1"/>
        <i x="18" s="1"/>
        <i x="137" s="1"/>
        <i x="176" s="1"/>
        <i x="72" s="1"/>
        <i x="0" s="1"/>
        <i x="161" s="1"/>
        <i x="151" s="1"/>
        <i x="19" s="1"/>
        <i x="71" s="1"/>
        <i x="163" s="1"/>
        <i x="90" s="1"/>
        <i x="107" s="1"/>
        <i x="84" s="1"/>
        <i x="131" s="1"/>
        <i x="128" s="1"/>
        <i x="160" s="1"/>
        <i x="138" s="1"/>
        <i x="106" s="1"/>
        <i x="97" s="1"/>
        <i x="94" s="1"/>
        <i x="130" s="1"/>
        <i x="9" s="1"/>
        <i x="149" s="1"/>
        <i x="111" s="1"/>
        <i x="119" s="1"/>
        <i x="58" s="1"/>
        <i x="157" s="1"/>
        <i x="73" s="1"/>
        <i x="129" s="1"/>
        <i x="44" s="1"/>
        <i x="132" s="1"/>
        <i x="74" s="1"/>
        <i x="66" s="1"/>
        <i x="50" s="1"/>
        <i x="61" s="1"/>
        <i x="91" s="1"/>
        <i x="52" s="1"/>
        <i x="125" s="1"/>
        <i x="77" s="1"/>
        <i x="158" s="1"/>
        <i x="12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eWtKg" xr10:uid="{461FEA7A-8329-43E7-B5B8-F4E98D20D124}" sourceName="MaleWtKg">
  <pivotTables>
    <pivotTable tabId="4" name="PivotTable9"/>
  </pivotTables>
  <data>
    <tabular pivotCacheId="2060593054">
      <items count="61">
        <i x="35" s="1"/>
        <i x="24" s="1"/>
        <i x="0" s="1"/>
        <i x="9" s="1"/>
        <i x="40" s="1"/>
        <i x="26" s="1"/>
        <i x="8" s="1"/>
        <i x="16" s="1"/>
        <i x="37" s="1"/>
        <i x="14" s="1"/>
        <i x="45" s="1"/>
        <i x="39" s="1"/>
        <i x="43" s="1"/>
        <i x="30" s="1"/>
        <i x="10" s="1"/>
        <i x="25" s="1"/>
        <i x="22" s="1"/>
        <i x="44" s="1"/>
        <i x="51" s="1"/>
        <i x="13" s="1"/>
        <i x="49" s="1"/>
        <i x="2" s="1"/>
        <i x="50" s="1"/>
        <i x="36" s="1"/>
        <i x="3" s="1"/>
        <i x="12" s="1"/>
        <i x="1" s="1"/>
        <i x="46" s="1"/>
        <i x="29" s="1"/>
        <i x="38" s="1"/>
        <i x="17" s="1"/>
        <i x="34" s="1"/>
        <i x="18" s="1"/>
        <i x="31" s="1"/>
        <i x="7" s="1"/>
        <i x="57" s="1"/>
        <i x="6" s="1"/>
        <i x="27" s="1"/>
        <i x="28" s="1"/>
        <i x="41" s="1"/>
        <i x="5" s="1"/>
        <i x="48" s="1"/>
        <i x="21" s="1"/>
        <i x="32" s="1"/>
        <i x="53" s="1"/>
        <i x="15" s="1"/>
        <i x="20" s="1"/>
        <i x="11" s="1"/>
        <i x="4" s="1"/>
        <i x="19" s="1"/>
        <i x="52" s="1"/>
        <i x="42" s="1"/>
        <i x="33" s="1"/>
        <i x="54" s="1"/>
        <i x="56" s="1"/>
        <i x="58" s="1"/>
        <i x="59" s="1"/>
        <i x="47" s="1"/>
        <i x="23" s="1"/>
        <i x="55" s="1"/>
        <i x="6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pCat" xr10:uid="{166DAB9E-C899-48CF-BB13-7D99B78447F4}" cache="Slicer_LapCat" caption="LapCat" rowHeight="262466"/>
  <slicer name="Group1" xr10:uid="{2052D896-D409-47F7-97AA-4764D3F50320}" cache="Slicer_Group1" caption="Group1" rowHeight="262466"/>
  <slicer name="MalaysiaPopularity" xr10:uid="{EC7AE7A7-F5E6-4D8F-B422-AF79C458CA73}" cache="Slicer_MalaysiaPopularity" caption="MalaysiaPopularity" rowHeight="262466"/>
  <slicer name="PopularityUS2017" xr10:uid="{DB527838-519D-453F-970C-6FF4EEBD001D}" cache="Slicer_PopularityUS2017" caption="PopularityUS2017" rowHeight="262466"/>
  <slicer name="MaleWtKg" xr10:uid="{A6B07A3B-6312-4490-B69B-23CD8B40C631}" cache="Slicer_MaleWtKg" caption="MaleWtKg"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A31993-D5C8-453A-8FD1-C030E1E391C8}" name="Table2" displayName="Table2" ref="A1:P251" totalsRowShown="0">
  <autoFilter ref="A1:P251" xr:uid="{D9A31993-D5C8-453A-8FD1-C030E1E391C8}"/>
  <tableColumns count="16">
    <tableColumn id="1" xr3:uid="{7A2C6D9C-264D-44F9-A6AE-F5A0A7D493AE}" name="BreedName"/>
    <tableColumn id="2" xr3:uid="{32A35400-C969-4224-94DF-BA37A1F19B1F}" name="AltBreedName"/>
    <tableColumn id="3" xr3:uid="{050FE49E-5FCC-4141-99B7-BF4AA611371D}" name="Group1"/>
    <tableColumn id="4" xr3:uid="{9DFA0ACD-E548-4958-8A97-D2FC1FB32D14}" name="Group2"/>
    <tableColumn id="5" xr3:uid="{90BBB691-6530-4B78-BEEA-35F0D37F6822}" name="MaleWtKg"/>
    <tableColumn id="6" xr3:uid="{183E0765-B16E-48C8-AD09-CB7BDB5A0412}" name="Temperment"/>
    <tableColumn id="7" xr3:uid="{F1734CB1-1E24-4136-9D0F-764F4C8E7405}" name="AvgPupPrice"/>
    <tableColumn id="8" xr3:uid="{C04F0156-61A2-486E-9921-C980D8388196}" name="Intelligence"/>
    <tableColumn id="9" xr3:uid="{310EDF49-031A-4734-829D-4B77D66385FB}" name="Watchdog"/>
    <tableColumn id="10" xr3:uid="{3DDADE2D-2237-4848-BE2C-A3D9895ED23A}" name="MalaysiaGuardedDog"/>
    <tableColumn id="11" xr3:uid="{EE564866-4F5A-44F1-A175-51221BB451B0}" name="MalaysiaProhibitedDog"/>
    <tableColumn id="12" xr3:uid="{A3B1EC7C-7E29-44D9-8695-677374651365}" name="MalaysiaPopularity"/>
    <tableColumn id="13" xr3:uid="{44630E5A-C844-453A-BD9B-FA3A37B2C552}" name="PopularityUS2017"/>
    <tableColumn id="14" xr3:uid="{91F8F921-B144-41D3-92D0-90AFC8D6B5D1}" name="Qty Sold" dataDxfId="1"/>
    <tableColumn id="15" xr3:uid="{DDCDBEEC-B133-4711-98C8-5040DC00EE42}" name="Average sale ">
      <calculatedColumnFormula>AVERAGEIF($A:$A, A2, $N:$N)</calculatedColumnFormula>
    </tableColumn>
    <tableColumn id="16" xr3:uid="{51514765-7DC2-4D0F-AD2C-7F2E004D8C3C}" name="Affectiontae">
      <calculatedColumnFormula>IF(ISNUMBER(SEARCH("Affectionate",F1)),"With Affectionate","Without Affectionate")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E1B42F-4F4E-4C57-BE37-234C1DE4E9F8}" name="Table1" displayName="Table1" ref="A1:M68" totalsRowShown="0">
  <autoFilter ref="A1:M68" xr:uid="{97E1B42F-4F4E-4C57-BE37-234C1DE4E9F8}"/>
  <tableColumns count="13">
    <tableColumn id="1" xr3:uid="{73AE22CB-B3DE-47AD-8648-BAFB30C900E3}" name="BreedName"/>
    <tableColumn id="2" xr3:uid="{A246FFC5-36B8-4315-AF81-185C36F91B0A}" name="AltBreedName"/>
    <tableColumn id="3" xr3:uid="{4D549A08-AA7B-4AB3-A48B-E98053FE7D54}" name="LapCat"/>
    <tableColumn id="4" xr3:uid="{1C609504-4368-4DD6-923C-A4701CB5BF52}" name="Fur"/>
    <tableColumn id="5" xr3:uid="{92881012-563C-4EC5-AADA-B96BDE941BDE}" name="MaleWtKg"/>
    <tableColumn id="6" xr3:uid="{450E9932-4430-4E43-9061-85877698F80A}" name="Temperment"/>
    <tableColumn id="7" xr3:uid="{DB1A45D6-EAA2-4C28-9707-97FC6FA3F222}" name="AvgKittenPrice"/>
    <tableColumn id="8" xr3:uid="{3A21EEF5-0A44-4817-9760-B380638AFCFC}" name="MalaysiaPopularity"/>
    <tableColumn id="9" xr3:uid="{594C5118-808A-43DE-B111-1EE82A1FD4D2}" name="PopularityUS2017"/>
    <tableColumn id="10" xr3:uid="{E3FF4603-DD4C-481F-8BB0-4C1C871F092B}" name="Qty Sold" dataDxfId="0"/>
    <tableColumn id="11" xr3:uid="{469D3E6F-F782-46BE-BA51-7C31C5168FF7}" name="Average sales ">
      <calculatedColumnFormula>AVERAGEIF($A:$A, A2, $J:$J)</calculatedColumnFormula>
    </tableColumn>
    <tableColumn id="12" xr3:uid="{DD6AC132-AFD7-4B80-85DD-CF602B930453}" name=" affectionate ">
      <calculatedColumnFormula>IF(ISNUMBER(SEARCH("Affectionate",F1)),"With Affectionate","Without Affectionate")</calculatedColumnFormula>
    </tableColumn>
    <tableColumn id="13" xr3:uid="{CE13CBF9-AD3E-4FE4-B64D-EE99CB0F235C}" name="Column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1"/>
  <sheetViews>
    <sheetView zoomScale="106" workbookViewId="0">
      <selection sqref="A1:P251"/>
    </sheetView>
  </sheetViews>
  <sheetFormatPr defaultColWidth="10.6640625" defaultRowHeight="15.5" x14ac:dyDescent="0.35"/>
  <cols>
    <col min="1" max="1" width="12.08203125" customWidth="1"/>
    <col min="2" max="2" width="14.5" customWidth="1"/>
    <col min="5" max="5" width="11.1640625" customWidth="1"/>
    <col min="6" max="6" width="13.08203125" customWidth="1"/>
    <col min="7" max="7" width="12.58203125" customWidth="1"/>
    <col min="8" max="8" width="11.9140625" customWidth="1"/>
    <col min="10" max="10" width="19.9140625" customWidth="1"/>
    <col min="11" max="11" width="21.4140625" customWidth="1"/>
    <col min="12" max="12" width="18" customWidth="1"/>
    <col min="13" max="13" width="17.08203125" customWidth="1"/>
    <col min="14" max="14" width="10.83203125" style="1"/>
    <col min="15" max="15" width="13.33203125" customWidth="1"/>
    <col min="16" max="16" width="19.08203125" customWidth="1"/>
    <col min="17" max="17" width="25.1640625" bestFit="1" customWidth="1"/>
  </cols>
  <sheetData>
    <row r="1" spans="1:16" x14ac:dyDescent="0.35">
      <c r="A1" t="s">
        <v>0</v>
      </c>
      <c r="B1" t="s">
        <v>1</v>
      </c>
      <c r="C1" t="s">
        <v>2</v>
      </c>
      <c r="D1" t="s">
        <v>3</v>
      </c>
      <c r="E1" t="s">
        <v>4</v>
      </c>
      <c r="F1" t="s">
        <v>5</v>
      </c>
      <c r="G1" t="s">
        <v>6</v>
      </c>
      <c r="H1" t="s">
        <v>7</v>
      </c>
      <c r="I1" t="s">
        <v>8</v>
      </c>
      <c r="J1" t="s">
        <v>9</v>
      </c>
      <c r="K1" t="s">
        <v>10</v>
      </c>
      <c r="L1" t="s">
        <v>11</v>
      </c>
      <c r="M1" t="s">
        <v>12</v>
      </c>
      <c r="N1" s="1" t="s">
        <v>13</v>
      </c>
      <c r="O1" t="s">
        <v>659</v>
      </c>
      <c r="P1" t="s">
        <v>699</v>
      </c>
    </row>
    <row r="2" spans="1:16" x14ac:dyDescent="0.35">
      <c r="A2" t="s">
        <v>14</v>
      </c>
      <c r="C2" t="s">
        <v>15</v>
      </c>
      <c r="D2" t="s">
        <v>16</v>
      </c>
      <c r="E2">
        <v>4</v>
      </c>
      <c r="F2" t="s">
        <v>17</v>
      </c>
      <c r="G2">
        <v>1000</v>
      </c>
      <c r="H2">
        <v>37</v>
      </c>
      <c r="I2">
        <v>1</v>
      </c>
      <c r="M2">
        <v>147</v>
      </c>
      <c r="N2" s="1">
        <v>300</v>
      </c>
      <c r="O2">
        <f>AVERAGEIF($A:$A, A2, $N:$N)</f>
        <v>300</v>
      </c>
      <c r="P2" t="str">
        <f>IF(ISNUMBER(SEARCH("Affectionate",F1)),"With Affectionate","Without Affectionate")</f>
        <v>Without Affectionate</v>
      </c>
    </row>
    <row r="3" spans="1:16" x14ac:dyDescent="0.35">
      <c r="A3" t="s">
        <v>18</v>
      </c>
      <c r="C3" t="s">
        <v>19</v>
      </c>
      <c r="D3" t="s">
        <v>20</v>
      </c>
      <c r="E3">
        <v>28</v>
      </c>
      <c r="F3" t="s">
        <v>21</v>
      </c>
      <c r="G3">
        <v>2250</v>
      </c>
      <c r="H3">
        <v>79</v>
      </c>
      <c r="I3">
        <v>1</v>
      </c>
      <c r="M3">
        <v>93</v>
      </c>
      <c r="N3" s="1">
        <v>250</v>
      </c>
      <c r="O3">
        <f t="shared" ref="O3:O66" si="0">AVERAGEIF($A:$A, A3, $N:$N)</f>
        <v>250</v>
      </c>
      <c r="P3" t="str">
        <f t="shared" ref="P3:P66" si="1">IF(ISNUMBER(SEARCH("Affectionate",F2)),"With Affectionate","Without Affectionate")</f>
        <v>Without Affectionate</v>
      </c>
    </row>
    <row r="4" spans="1:16" x14ac:dyDescent="0.35">
      <c r="A4" t="s">
        <v>22</v>
      </c>
      <c r="E4">
        <v>23</v>
      </c>
      <c r="F4" t="s">
        <v>23</v>
      </c>
      <c r="N4" s="1">
        <v>500</v>
      </c>
      <c r="O4">
        <f t="shared" si="0"/>
        <v>500</v>
      </c>
      <c r="P4" t="str">
        <f t="shared" si="1"/>
        <v>Without Affectionate</v>
      </c>
    </row>
    <row r="5" spans="1:16" x14ac:dyDescent="0.35">
      <c r="A5" t="s">
        <v>24</v>
      </c>
      <c r="B5" t="s">
        <v>25</v>
      </c>
      <c r="C5" t="s">
        <v>26</v>
      </c>
      <c r="D5" t="s">
        <v>26</v>
      </c>
      <c r="E5">
        <v>26</v>
      </c>
      <c r="F5" t="s">
        <v>27</v>
      </c>
      <c r="G5">
        <v>700</v>
      </c>
      <c r="H5">
        <v>29</v>
      </c>
      <c r="I5">
        <v>4</v>
      </c>
      <c r="M5">
        <v>55</v>
      </c>
      <c r="N5" s="1">
        <v>670</v>
      </c>
      <c r="O5">
        <f t="shared" si="0"/>
        <v>670</v>
      </c>
      <c r="P5" t="str">
        <f t="shared" si="1"/>
        <v>Without Affectionate</v>
      </c>
    </row>
    <row r="6" spans="1:16" x14ac:dyDescent="0.35">
      <c r="A6" t="s">
        <v>28</v>
      </c>
      <c r="C6" t="s">
        <v>29</v>
      </c>
      <c r="D6" t="s">
        <v>30</v>
      </c>
      <c r="E6">
        <v>53</v>
      </c>
      <c r="F6" t="s">
        <v>31</v>
      </c>
      <c r="G6">
        <v>600</v>
      </c>
      <c r="I6">
        <v>5</v>
      </c>
      <c r="N6" s="1">
        <v>293</v>
      </c>
      <c r="O6">
        <f t="shared" si="0"/>
        <v>293</v>
      </c>
      <c r="P6" t="str">
        <f t="shared" si="1"/>
        <v>Without Affectionate</v>
      </c>
    </row>
    <row r="7" spans="1:16" x14ac:dyDescent="0.35">
      <c r="A7" t="s">
        <v>32</v>
      </c>
      <c r="C7" t="s">
        <v>29</v>
      </c>
      <c r="D7" t="s">
        <v>33</v>
      </c>
      <c r="E7">
        <v>44</v>
      </c>
      <c r="F7" t="s">
        <v>34</v>
      </c>
      <c r="G7">
        <v>1000</v>
      </c>
      <c r="H7">
        <v>54</v>
      </c>
      <c r="I7">
        <v>5</v>
      </c>
      <c r="K7">
        <v>1</v>
      </c>
      <c r="M7">
        <v>47</v>
      </c>
      <c r="N7" s="1">
        <v>457</v>
      </c>
      <c r="O7">
        <f t="shared" si="0"/>
        <v>457</v>
      </c>
      <c r="P7" t="str">
        <f t="shared" si="1"/>
        <v>With Affectionate</v>
      </c>
    </row>
    <row r="8" spans="1:16" x14ac:dyDescent="0.35">
      <c r="A8" t="s">
        <v>35</v>
      </c>
      <c r="B8" t="s">
        <v>36</v>
      </c>
      <c r="C8" t="s">
        <v>29</v>
      </c>
      <c r="D8" t="s">
        <v>37</v>
      </c>
      <c r="E8">
        <v>40</v>
      </c>
      <c r="F8" t="s">
        <v>38</v>
      </c>
      <c r="G8">
        <v>1350</v>
      </c>
      <c r="H8">
        <v>50</v>
      </c>
      <c r="I8">
        <v>5</v>
      </c>
      <c r="M8">
        <v>59</v>
      </c>
      <c r="N8" s="1">
        <v>890</v>
      </c>
      <c r="O8">
        <f t="shared" si="0"/>
        <v>890</v>
      </c>
      <c r="P8" t="str">
        <f t="shared" si="1"/>
        <v>Without Affectionate</v>
      </c>
    </row>
    <row r="9" spans="1:16" x14ac:dyDescent="0.35">
      <c r="A9" t="s">
        <v>39</v>
      </c>
      <c r="C9" t="s">
        <v>29</v>
      </c>
      <c r="D9" t="s">
        <v>30</v>
      </c>
      <c r="E9">
        <v>38</v>
      </c>
      <c r="F9" t="s">
        <v>40</v>
      </c>
      <c r="G9">
        <v>800</v>
      </c>
      <c r="I9">
        <v>6</v>
      </c>
      <c r="K9">
        <v>1</v>
      </c>
      <c r="N9" s="1">
        <v>91</v>
      </c>
      <c r="O9">
        <f t="shared" si="0"/>
        <v>91</v>
      </c>
      <c r="P9" t="str">
        <f t="shared" si="1"/>
        <v>With Affectionate</v>
      </c>
    </row>
    <row r="10" spans="1:16" x14ac:dyDescent="0.35">
      <c r="A10" t="s">
        <v>41</v>
      </c>
      <c r="C10" t="s">
        <v>42</v>
      </c>
      <c r="D10" t="s">
        <v>37</v>
      </c>
      <c r="E10">
        <v>8</v>
      </c>
      <c r="F10" t="s">
        <v>43</v>
      </c>
      <c r="G10">
        <v>700</v>
      </c>
      <c r="I10">
        <v>4</v>
      </c>
      <c r="M10">
        <v>118</v>
      </c>
      <c r="N10" s="1">
        <v>25</v>
      </c>
      <c r="O10">
        <f t="shared" si="0"/>
        <v>25</v>
      </c>
      <c r="P10" t="str">
        <f t="shared" si="1"/>
        <v>With Affectionate</v>
      </c>
    </row>
    <row r="11" spans="1:16" x14ac:dyDescent="0.35">
      <c r="A11" t="s">
        <v>44</v>
      </c>
      <c r="C11" t="s">
        <v>26</v>
      </c>
      <c r="D11" t="s">
        <v>26</v>
      </c>
      <c r="E11">
        <v>5</v>
      </c>
      <c r="F11" t="s">
        <v>45</v>
      </c>
      <c r="G11">
        <v>400</v>
      </c>
      <c r="I11">
        <v>3</v>
      </c>
      <c r="M11">
        <v>126</v>
      </c>
      <c r="N11" s="1">
        <v>76</v>
      </c>
      <c r="O11">
        <f t="shared" si="0"/>
        <v>76</v>
      </c>
      <c r="P11" t="str">
        <f t="shared" si="1"/>
        <v>Without Affectionate</v>
      </c>
    </row>
    <row r="12" spans="1:16" x14ac:dyDescent="0.35">
      <c r="A12" t="s">
        <v>46</v>
      </c>
      <c r="C12" t="s">
        <v>26</v>
      </c>
      <c r="D12" t="s">
        <v>26</v>
      </c>
      <c r="E12">
        <v>28</v>
      </c>
      <c r="F12" t="s">
        <v>47</v>
      </c>
      <c r="G12">
        <v>900</v>
      </c>
      <c r="H12">
        <v>34</v>
      </c>
      <c r="I12">
        <v>3</v>
      </c>
      <c r="K12">
        <v>1</v>
      </c>
      <c r="M12">
        <v>83</v>
      </c>
      <c r="N12" s="1">
        <v>94</v>
      </c>
      <c r="O12">
        <f t="shared" si="0"/>
        <v>94</v>
      </c>
      <c r="P12" t="str">
        <f t="shared" si="1"/>
        <v>Without Affectionate</v>
      </c>
    </row>
    <row r="13" spans="1:16" x14ac:dyDescent="0.35">
      <c r="A13" t="s">
        <v>48</v>
      </c>
      <c r="C13" t="s">
        <v>19</v>
      </c>
      <c r="D13" t="s">
        <v>49</v>
      </c>
      <c r="E13">
        <v>16</v>
      </c>
      <c r="F13" t="s">
        <v>50</v>
      </c>
      <c r="G13">
        <v>900</v>
      </c>
      <c r="H13">
        <v>44</v>
      </c>
      <c r="I13">
        <v>4</v>
      </c>
      <c r="M13">
        <v>167</v>
      </c>
      <c r="N13" s="1">
        <v>56</v>
      </c>
      <c r="O13">
        <f t="shared" si="0"/>
        <v>56</v>
      </c>
      <c r="P13" t="str">
        <f t="shared" si="1"/>
        <v>Without Affectionate</v>
      </c>
    </row>
    <row r="14" spans="1:16" x14ac:dyDescent="0.35">
      <c r="A14" t="s">
        <v>51</v>
      </c>
      <c r="C14" t="s">
        <v>29</v>
      </c>
      <c r="D14" t="s">
        <v>30</v>
      </c>
      <c r="E14">
        <v>52</v>
      </c>
      <c r="F14" t="s">
        <v>52</v>
      </c>
      <c r="G14">
        <v>800</v>
      </c>
      <c r="I14">
        <v>6</v>
      </c>
      <c r="M14">
        <v>86</v>
      </c>
      <c r="N14" s="1">
        <v>780</v>
      </c>
      <c r="O14">
        <f t="shared" si="0"/>
        <v>780</v>
      </c>
      <c r="P14" t="str">
        <f t="shared" si="1"/>
        <v>Without Affectionate</v>
      </c>
    </row>
    <row r="15" spans="1:16" x14ac:dyDescent="0.35">
      <c r="A15" t="s">
        <v>53</v>
      </c>
      <c r="B15" t="s">
        <v>54</v>
      </c>
      <c r="C15" t="s">
        <v>29</v>
      </c>
      <c r="D15" t="s">
        <v>30</v>
      </c>
      <c r="E15">
        <v>27</v>
      </c>
      <c r="F15" t="s">
        <v>55</v>
      </c>
      <c r="G15">
        <v>700</v>
      </c>
      <c r="I15">
        <v>5</v>
      </c>
      <c r="N15" s="1">
        <v>909</v>
      </c>
      <c r="O15">
        <f t="shared" si="0"/>
        <v>909</v>
      </c>
      <c r="P15" t="str">
        <f t="shared" si="1"/>
        <v>Without Affectionate</v>
      </c>
    </row>
    <row r="16" spans="1:16" x14ac:dyDescent="0.35">
      <c r="A16" t="s">
        <v>56</v>
      </c>
      <c r="C16" t="s">
        <v>33</v>
      </c>
      <c r="D16" t="s">
        <v>33</v>
      </c>
      <c r="E16">
        <v>21</v>
      </c>
      <c r="F16" t="s">
        <v>57</v>
      </c>
      <c r="G16">
        <v>600</v>
      </c>
      <c r="H16">
        <v>10</v>
      </c>
      <c r="I16">
        <v>6</v>
      </c>
      <c r="M16">
        <v>56</v>
      </c>
      <c r="N16" s="1">
        <v>101</v>
      </c>
      <c r="O16">
        <f t="shared" si="0"/>
        <v>101</v>
      </c>
      <c r="P16" t="str">
        <f t="shared" si="1"/>
        <v>Without Affectionate</v>
      </c>
    </row>
    <row r="17" spans="1:16" x14ac:dyDescent="0.35">
      <c r="A17" t="s">
        <v>58</v>
      </c>
      <c r="B17" t="s">
        <v>59</v>
      </c>
      <c r="C17" t="s">
        <v>29</v>
      </c>
      <c r="D17" t="s">
        <v>33</v>
      </c>
      <c r="E17">
        <v>16</v>
      </c>
      <c r="F17" t="s">
        <v>60</v>
      </c>
      <c r="G17">
        <v>600</v>
      </c>
      <c r="I17">
        <v>5</v>
      </c>
      <c r="N17" s="1">
        <v>102</v>
      </c>
      <c r="O17">
        <f t="shared" si="0"/>
        <v>102</v>
      </c>
      <c r="P17" t="str">
        <f t="shared" si="1"/>
        <v>Without Affectionate</v>
      </c>
    </row>
    <row r="18" spans="1:16" x14ac:dyDescent="0.35">
      <c r="A18" t="s">
        <v>61</v>
      </c>
      <c r="C18" t="s">
        <v>26</v>
      </c>
      <c r="D18" t="s">
        <v>26</v>
      </c>
      <c r="E18">
        <v>27</v>
      </c>
      <c r="F18" t="s">
        <v>62</v>
      </c>
      <c r="G18">
        <v>700</v>
      </c>
      <c r="H18">
        <v>42</v>
      </c>
      <c r="I18">
        <v>5</v>
      </c>
      <c r="M18">
        <v>17</v>
      </c>
      <c r="N18" s="1">
        <v>39</v>
      </c>
      <c r="O18">
        <f t="shared" si="0"/>
        <v>39</v>
      </c>
      <c r="P18" t="str">
        <f t="shared" si="1"/>
        <v>Without Affectionate</v>
      </c>
    </row>
    <row r="19" spans="1:16" x14ac:dyDescent="0.35">
      <c r="A19" t="s">
        <v>63</v>
      </c>
      <c r="C19" t="s">
        <v>26</v>
      </c>
      <c r="D19" t="s">
        <v>26</v>
      </c>
      <c r="E19">
        <v>5</v>
      </c>
      <c r="F19" t="s">
        <v>64</v>
      </c>
      <c r="G19">
        <v>1250</v>
      </c>
      <c r="H19">
        <v>34</v>
      </c>
      <c r="I19">
        <v>3</v>
      </c>
      <c r="M19">
        <v>137</v>
      </c>
      <c r="N19" s="1">
        <v>55</v>
      </c>
      <c r="O19">
        <f t="shared" si="0"/>
        <v>55</v>
      </c>
      <c r="P19" t="str">
        <f t="shared" si="1"/>
        <v>With Affectionate</v>
      </c>
    </row>
    <row r="20" spans="1:16" x14ac:dyDescent="0.35">
      <c r="A20" t="s">
        <v>65</v>
      </c>
      <c r="C20" t="s">
        <v>66</v>
      </c>
      <c r="D20" t="s">
        <v>20</v>
      </c>
      <c r="E20">
        <v>11</v>
      </c>
      <c r="F20" t="s">
        <v>67</v>
      </c>
      <c r="G20">
        <v>1100</v>
      </c>
      <c r="H20">
        <v>78</v>
      </c>
      <c r="I20">
        <v>5</v>
      </c>
      <c r="M20">
        <v>84</v>
      </c>
      <c r="N20" s="1">
        <v>49</v>
      </c>
      <c r="O20">
        <f t="shared" si="0"/>
        <v>49</v>
      </c>
      <c r="P20" t="str">
        <f t="shared" si="1"/>
        <v>Without Affectionate</v>
      </c>
    </row>
    <row r="21" spans="1:16" x14ac:dyDescent="0.35">
      <c r="A21" t="s">
        <v>68</v>
      </c>
      <c r="B21" t="s">
        <v>69</v>
      </c>
      <c r="C21" t="s">
        <v>66</v>
      </c>
      <c r="D21" t="s">
        <v>70</v>
      </c>
      <c r="E21">
        <v>26</v>
      </c>
      <c r="F21" t="s">
        <v>71</v>
      </c>
      <c r="G21">
        <v>400</v>
      </c>
      <c r="H21">
        <v>71</v>
      </c>
      <c r="I21">
        <v>1</v>
      </c>
      <c r="M21">
        <v>39</v>
      </c>
      <c r="N21" s="1">
        <v>76</v>
      </c>
      <c r="O21">
        <f t="shared" si="0"/>
        <v>76</v>
      </c>
      <c r="P21" t="str">
        <f t="shared" si="1"/>
        <v>With Affectionate</v>
      </c>
    </row>
    <row r="22" spans="1:16" x14ac:dyDescent="0.35">
      <c r="A22" t="s">
        <v>72</v>
      </c>
      <c r="C22" t="s">
        <v>66</v>
      </c>
      <c r="D22" t="s">
        <v>70</v>
      </c>
      <c r="E22">
        <v>11</v>
      </c>
      <c r="F22" t="s">
        <v>73</v>
      </c>
      <c r="G22">
        <v>650</v>
      </c>
      <c r="H22">
        <v>72</v>
      </c>
      <c r="I22">
        <v>1</v>
      </c>
      <c r="M22">
        <v>6</v>
      </c>
      <c r="N22" s="1">
        <v>34</v>
      </c>
      <c r="O22">
        <f t="shared" si="0"/>
        <v>34</v>
      </c>
      <c r="P22" t="str">
        <f t="shared" si="1"/>
        <v>With Affectionate</v>
      </c>
    </row>
    <row r="23" spans="1:16" x14ac:dyDescent="0.35">
      <c r="A23" t="s">
        <v>74</v>
      </c>
      <c r="C23" t="s">
        <v>33</v>
      </c>
      <c r="D23" t="s">
        <v>33</v>
      </c>
      <c r="E23">
        <v>23</v>
      </c>
      <c r="F23" t="s">
        <v>75</v>
      </c>
      <c r="G23">
        <v>1300</v>
      </c>
      <c r="H23">
        <v>34</v>
      </c>
      <c r="I23">
        <v>4</v>
      </c>
      <c r="M23">
        <v>125</v>
      </c>
      <c r="N23" s="1">
        <v>50</v>
      </c>
      <c r="O23">
        <f t="shared" si="0"/>
        <v>50</v>
      </c>
      <c r="P23" t="str">
        <f t="shared" si="1"/>
        <v>Without Affectionate</v>
      </c>
    </row>
    <row r="24" spans="1:16" x14ac:dyDescent="0.35">
      <c r="A24" t="s">
        <v>76</v>
      </c>
      <c r="C24" t="s">
        <v>33</v>
      </c>
      <c r="D24" t="s">
        <v>33</v>
      </c>
      <c r="E24">
        <v>50</v>
      </c>
      <c r="F24" t="s">
        <v>77</v>
      </c>
      <c r="G24">
        <v>1350</v>
      </c>
      <c r="I24">
        <v>5</v>
      </c>
      <c r="M24">
        <v>141</v>
      </c>
      <c r="N24" s="1">
        <v>23</v>
      </c>
      <c r="O24">
        <f t="shared" si="0"/>
        <v>23</v>
      </c>
      <c r="P24" t="str">
        <f t="shared" si="1"/>
        <v>Without Affectionate</v>
      </c>
    </row>
    <row r="25" spans="1:16" x14ac:dyDescent="0.35">
      <c r="A25" t="s">
        <v>78</v>
      </c>
      <c r="C25" t="s">
        <v>26</v>
      </c>
      <c r="D25" t="s">
        <v>26</v>
      </c>
      <c r="E25">
        <v>9</v>
      </c>
      <c r="F25" t="s">
        <v>79</v>
      </c>
      <c r="G25">
        <v>1900</v>
      </c>
      <c r="H25">
        <v>40</v>
      </c>
      <c r="I25">
        <v>3</v>
      </c>
      <c r="M25">
        <v>151</v>
      </c>
      <c r="N25" s="1">
        <v>45</v>
      </c>
      <c r="O25">
        <f t="shared" si="0"/>
        <v>45</v>
      </c>
      <c r="P25" t="str">
        <f t="shared" si="1"/>
        <v>Without Affectionate</v>
      </c>
    </row>
    <row r="26" spans="1:16" x14ac:dyDescent="0.35">
      <c r="A26" t="s">
        <v>80</v>
      </c>
      <c r="B26" t="s">
        <v>81</v>
      </c>
      <c r="C26" t="s">
        <v>33</v>
      </c>
      <c r="D26" t="s">
        <v>33</v>
      </c>
      <c r="E26">
        <v>32</v>
      </c>
      <c r="F26" t="s">
        <v>82</v>
      </c>
      <c r="G26">
        <v>1300</v>
      </c>
      <c r="H26">
        <v>15</v>
      </c>
      <c r="I26">
        <v>6</v>
      </c>
      <c r="M26">
        <v>120</v>
      </c>
      <c r="N26" s="1">
        <v>33</v>
      </c>
      <c r="O26">
        <f t="shared" si="0"/>
        <v>33</v>
      </c>
      <c r="P26" t="str">
        <f t="shared" si="1"/>
        <v>With Affectionate</v>
      </c>
    </row>
    <row r="27" spans="1:16" x14ac:dyDescent="0.35">
      <c r="A27" t="s">
        <v>83</v>
      </c>
      <c r="C27" t="s">
        <v>33</v>
      </c>
      <c r="D27" t="s">
        <v>33</v>
      </c>
      <c r="E27">
        <v>28</v>
      </c>
      <c r="F27" t="s">
        <v>84</v>
      </c>
      <c r="G27">
        <v>650</v>
      </c>
      <c r="I27">
        <v>5</v>
      </c>
      <c r="N27" s="1">
        <v>53</v>
      </c>
      <c r="O27">
        <f t="shared" si="0"/>
        <v>53</v>
      </c>
      <c r="P27" t="str">
        <f t="shared" si="1"/>
        <v>Without Affectionate</v>
      </c>
    </row>
    <row r="28" spans="1:16" x14ac:dyDescent="0.35">
      <c r="A28" t="s">
        <v>85</v>
      </c>
      <c r="B28" t="s">
        <v>86</v>
      </c>
      <c r="C28" t="s">
        <v>33</v>
      </c>
      <c r="D28" t="s">
        <v>33</v>
      </c>
      <c r="E28">
        <v>27</v>
      </c>
      <c r="F28" t="s">
        <v>87</v>
      </c>
      <c r="G28">
        <v>700</v>
      </c>
      <c r="I28">
        <v>6</v>
      </c>
      <c r="M28">
        <v>44</v>
      </c>
      <c r="N28" s="1">
        <v>87</v>
      </c>
      <c r="O28">
        <f t="shared" si="0"/>
        <v>87</v>
      </c>
      <c r="P28" t="str">
        <f t="shared" si="1"/>
        <v>Without Affectionate</v>
      </c>
    </row>
    <row r="29" spans="1:16" x14ac:dyDescent="0.35">
      <c r="A29" t="s">
        <v>88</v>
      </c>
      <c r="C29" t="s">
        <v>33</v>
      </c>
      <c r="D29" t="s">
        <v>33</v>
      </c>
      <c r="E29">
        <v>34</v>
      </c>
      <c r="F29" t="s">
        <v>89</v>
      </c>
      <c r="G29">
        <v>1350</v>
      </c>
      <c r="H29">
        <v>14</v>
      </c>
      <c r="I29">
        <v>6</v>
      </c>
      <c r="M29">
        <v>103</v>
      </c>
      <c r="N29" s="1">
        <v>67</v>
      </c>
      <c r="O29">
        <f t="shared" si="0"/>
        <v>67</v>
      </c>
      <c r="P29" t="str">
        <f t="shared" si="1"/>
        <v>Without Affectionate</v>
      </c>
    </row>
    <row r="30" spans="1:16" x14ac:dyDescent="0.35">
      <c r="A30" t="s">
        <v>90</v>
      </c>
      <c r="C30" t="s">
        <v>29</v>
      </c>
      <c r="D30" t="s">
        <v>30</v>
      </c>
      <c r="E30">
        <v>44</v>
      </c>
      <c r="F30" t="s">
        <v>91</v>
      </c>
      <c r="G30">
        <v>900</v>
      </c>
      <c r="H30">
        <v>22</v>
      </c>
      <c r="I30">
        <v>5</v>
      </c>
      <c r="M30">
        <v>25</v>
      </c>
      <c r="N30" s="1">
        <v>98</v>
      </c>
      <c r="O30">
        <f t="shared" si="0"/>
        <v>98</v>
      </c>
      <c r="P30" t="str">
        <f t="shared" si="1"/>
        <v>Without Affectionate</v>
      </c>
    </row>
    <row r="31" spans="1:16" x14ac:dyDescent="0.35">
      <c r="A31" t="s">
        <v>92</v>
      </c>
      <c r="C31" t="s">
        <v>42</v>
      </c>
      <c r="D31" t="s">
        <v>16</v>
      </c>
      <c r="E31">
        <v>4</v>
      </c>
      <c r="F31" t="s">
        <v>93</v>
      </c>
      <c r="G31">
        <v>850</v>
      </c>
      <c r="H31">
        <v>45</v>
      </c>
      <c r="I31">
        <v>3</v>
      </c>
      <c r="M31">
        <v>46</v>
      </c>
      <c r="N31" s="1">
        <v>104</v>
      </c>
      <c r="O31">
        <f t="shared" si="0"/>
        <v>104</v>
      </c>
      <c r="P31" t="str">
        <f t="shared" si="1"/>
        <v>With Affectionate</v>
      </c>
    </row>
    <row r="32" spans="1:16" x14ac:dyDescent="0.35">
      <c r="A32" t="s">
        <v>94</v>
      </c>
      <c r="C32" t="s">
        <v>66</v>
      </c>
      <c r="D32" t="s">
        <v>70</v>
      </c>
      <c r="E32">
        <v>55</v>
      </c>
      <c r="F32" t="s">
        <v>95</v>
      </c>
      <c r="G32">
        <v>350</v>
      </c>
      <c r="H32">
        <v>44</v>
      </c>
      <c r="I32">
        <v>3</v>
      </c>
      <c r="M32">
        <v>130</v>
      </c>
      <c r="N32" s="1">
        <v>542</v>
      </c>
      <c r="O32">
        <f t="shared" si="0"/>
        <v>542</v>
      </c>
      <c r="P32" t="str">
        <f t="shared" si="1"/>
        <v>With Affectionate</v>
      </c>
    </row>
    <row r="33" spans="1:16" x14ac:dyDescent="0.35">
      <c r="A33" t="s">
        <v>96</v>
      </c>
      <c r="C33" t="s">
        <v>19</v>
      </c>
      <c r="D33" t="s">
        <v>49</v>
      </c>
      <c r="E33">
        <v>32</v>
      </c>
      <c r="F33" t="s">
        <v>97</v>
      </c>
      <c r="G33">
        <v>1500</v>
      </c>
      <c r="H33">
        <v>7</v>
      </c>
      <c r="I33">
        <v>3</v>
      </c>
      <c r="M33">
        <v>1</v>
      </c>
      <c r="N33" s="1">
        <v>123</v>
      </c>
      <c r="O33">
        <f t="shared" si="0"/>
        <v>123</v>
      </c>
      <c r="P33" t="str">
        <f t="shared" si="1"/>
        <v>Without Affectionate</v>
      </c>
    </row>
    <row r="34" spans="1:16" x14ac:dyDescent="0.35">
      <c r="A34" t="s">
        <v>98</v>
      </c>
      <c r="C34" t="s">
        <v>66</v>
      </c>
      <c r="D34" t="s">
        <v>70</v>
      </c>
      <c r="E34">
        <v>32</v>
      </c>
      <c r="F34" t="s">
        <v>99</v>
      </c>
      <c r="G34">
        <v>400</v>
      </c>
      <c r="I34">
        <v>3</v>
      </c>
      <c r="N34" s="1">
        <v>105</v>
      </c>
      <c r="O34">
        <f t="shared" si="0"/>
        <v>105</v>
      </c>
      <c r="P34" t="str">
        <f t="shared" si="1"/>
        <v>With Affectionate</v>
      </c>
    </row>
    <row r="35" spans="1:16" x14ac:dyDescent="0.35">
      <c r="A35" t="s">
        <v>100</v>
      </c>
      <c r="C35" t="s">
        <v>29</v>
      </c>
      <c r="D35" t="s">
        <v>30</v>
      </c>
      <c r="E35">
        <v>51</v>
      </c>
      <c r="F35" t="s">
        <v>101</v>
      </c>
      <c r="G35">
        <v>2150</v>
      </c>
      <c r="I35">
        <v>6</v>
      </c>
      <c r="M35">
        <v>116</v>
      </c>
      <c r="N35" s="1">
        <v>107</v>
      </c>
      <c r="O35">
        <f t="shared" si="0"/>
        <v>107</v>
      </c>
      <c r="P35" t="str">
        <f t="shared" si="1"/>
        <v>Without Affectionate</v>
      </c>
    </row>
    <row r="36" spans="1:16" x14ac:dyDescent="0.35">
      <c r="A36" t="s">
        <v>102</v>
      </c>
      <c r="C36" t="s">
        <v>66</v>
      </c>
      <c r="D36" t="s">
        <v>70</v>
      </c>
      <c r="E36">
        <v>46</v>
      </c>
      <c r="F36" t="s">
        <v>103</v>
      </c>
      <c r="G36">
        <v>1000</v>
      </c>
      <c r="H36">
        <v>74</v>
      </c>
      <c r="I36">
        <v>1</v>
      </c>
      <c r="M36">
        <v>50</v>
      </c>
      <c r="N36" s="1">
        <v>891</v>
      </c>
      <c r="O36">
        <f t="shared" si="0"/>
        <v>891</v>
      </c>
      <c r="P36" t="str">
        <f t="shared" si="1"/>
        <v>Without Affectionate</v>
      </c>
    </row>
    <row r="37" spans="1:16" x14ac:dyDescent="0.35">
      <c r="A37" t="s">
        <v>104</v>
      </c>
      <c r="C37" t="s">
        <v>19</v>
      </c>
      <c r="D37" t="s">
        <v>49</v>
      </c>
      <c r="E37">
        <v>18</v>
      </c>
      <c r="F37" t="s">
        <v>105</v>
      </c>
      <c r="G37">
        <v>700</v>
      </c>
      <c r="I37">
        <v>4</v>
      </c>
      <c r="N37" s="1">
        <v>397</v>
      </c>
      <c r="O37">
        <f t="shared" si="0"/>
        <v>397</v>
      </c>
      <c r="P37" t="str">
        <f t="shared" si="1"/>
        <v>With Affectionate</v>
      </c>
    </row>
    <row r="38" spans="1:16" x14ac:dyDescent="0.35">
      <c r="A38" t="s">
        <v>106</v>
      </c>
      <c r="B38" t="s">
        <v>107</v>
      </c>
      <c r="C38" t="s">
        <v>66</v>
      </c>
      <c r="D38" t="s">
        <v>70</v>
      </c>
      <c r="E38">
        <v>28</v>
      </c>
      <c r="F38" t="s">
        <v>108</v>
      </c>
      <c r="G38">
        <v>550</v>
      </c>
      <c r="I38">
        <v>1</v>
      </c>
      <c r="M38">
        <v>132</v>
      </c>
      <c r="N38" s="1">
        <v>675</v>
      </c>
      <c r="O38">
        <f t="shared" si="0"/>
        <v>675</v>
      </c>
      <c r="P38" t="str">
        <f t="shared" si="1"/>
        <v>Without Affectionate</v>
      </c>
    </row>
    <row r="39" spans="1:16" x14ac:dyDescent="0.35">
      <c r="A39" t="s">
        <v>109</v>
      </c>
      <c r="C39" t="s">
        <v>29</v>
      </c>
      <c r="D39" t="s">
        <v>30</v>
      </c>
      <c r="E39">
        <v>80</v>
      </c>
      <c r="F39" t="s">
        <v>110</v>
      </c>
      <c r="G39">
        <v>1750</v>
      </c>
      <c r="I39">
        <v>6</v>
      </c>
      <c r="M39">
        <v>124</v>
      </c>
      <c r="N39" s="1">
        <v>393</v>
      </c>
      <c r="O39">
        <f t="shared" si="0"/>
        <v>393</v>
      </c>
      <c r="P39" t="str">
        <f t="shared" si="1"/>
        <v>Without Affectionate</v>
      </c>
    </row>
    <row r="40" spans="1:16" x14ac:dyDescent="0.35">
      <c r="A40" t="s">
        <v>111</v>
      </c>
      <c r="C40" t="s">
        <v>29</v>
      </c>
      <c r="D40" t="s">
        <v>16</v>
      </c>
      <c r="E40">
        <v>3</v>
      </c>
      <c r="F40" t="s">
        <v>112</v>
      </c>
      <c r="G40">
        <v>1350</v>
      </c>
      <c r="I40">
        <v>2</v>
      </c>
      <c r="N40" s="1">
        <v>215</v>
      </c>
      <c r="O40">
        <f t="shared" si="0"/>
        <v>215</v>
      </c>
      <c r="P40" t="str">
        <f t="shared" si="1"/>
        <v>Without Affectionate</v>
      </c>
    </row>
    <row r="41" spans="1:16" x14ac:dyDescent="0.35">
      <c r="A41" t="s">
        <v>113</v>
      </c>
      <c r="C41" t="s">
        <v>33</v>
      </c>
      <c r="D41" t="s">
        <v>33</v>
      </c>
      <c r="E41">
        <v>17</v>
      </c>
      <c r="F41" t="s">
        <v>114</v>
      </c>
      <c r="G41">
        <v>700</v>
      </c>
      <c r="H41">
        <v>1</v>
      </c>
      <c r="I41">
        <v>6</v>
      </c>
      <c r="M41">
        <v>38</v>
      </c>
      <c r="N41" s="1">
        <v>107</v>
      </c>
      <c r="O41">
        <f t="shared" si="0"/>
        <v>107</v>
      </c>
      <c r="P41" t="str">
        <f t="shared" si="1"/>
        <v>Without Affectionate</v>
      </c>
    </row>
    <row r="42" spans="1:16" x14ac:dyDescent="0.35">
      <c r="A42" t="s">
        <v>115</v>
      </c>
      <c r="C42" t="s">
        <v>26</v>
      </c>
      <c r="D42" t="s">
        <v>26</v>
      </c>
      <c r="E42">
        <v>7</v>
      </c>
      <c r="F42" t="s">
        <v>116</v>
      </c>
      <c r="G42">
        <v>1300</v>
      </c>
      <c r="H42">
        <v>30</v>
      </c>
      <c r="I42">
        <v>4</v>
      </c>
      <c r="M42">
        <v>92</v>
      </c>
      <c r="N42" s="1">
        <v>110</v>
      </c>
      <c r="O42">
        <f t="shared" si="0"/>
        <v>110</v>
      </c>
      <c r="P42" t="str">
        <f t="shared" si="1"/>
        <v>Without Affectionate</v>
      </c>
    </row>
    <row r="43" spans="1:16" x14ac:dyDescent="0.35">
      <c r="A43" t="s">
        <v>117</v>
      </c>
      <c r="C43" t="s">
        <v>66</v>
      </c>
      <c r="D43" t="s">
        <v>20</v>
      </c>
      <c r="E43">
        <v>41</v>
      </c>
      <c r="F43" t="s">
        <v>118</v>
      </c>
      <c r="G43">
        <v>1100</v>
      </c>
      <c r="H43">
        <v>75</v>
      </c>
      <c r="I43">
        <v>1</v>
      </c>
      <c r="M43">
        <v>102</v>
      </c>
      <c r="N43" s="1">
        <v>25</v>
      </c>
      <c r="O43">
        <f t="shared" si="0"/>
        <v>25</v>
      </c>
      <c r="P43" t="str">
        <f t="shared" si="1"/>
        <v>With Affectionate</v>
      </c>
    </row>
    <row r="44" spans="1:16" x14ac:dyDescent="0.35">
      <c r="A44" t="s">
        <v>119</v>
      </c>
      <c r="B44" t="s">
        <v>120</v>
      </c>
      <c r="C44" t="s">
        <v>42</v>
      </c>
      <c r="D44" t="s">
        <v>16</v>
      </c>
      <c r="E44">
        <v>9</v>
      </c>
      <c r="F44" t="s">
        <v>121</v>
      </c>
      <c r="G44">
        <v>750</v>
      </c>
      <c r="H44">
        <v>54</v>
      </c>
      <c r="I44">
        <v>3</v>
      </c>
      <c r="M44">
        <v>21</v>
      </c>
      <c r="N44" s="1">
        <v>35</v>
      </c>
      <c r="O44">
        <f t="shared" si="0"/>
        <v>35</v>
      </c>
      <c r="P44" t="str">
        <f t="shared" si="1"/>
        <v>Without Affectionate</v>
      </c>
    </row>
    <row r="45" spans="1:16" x14ac:dyDescent="0.35">
      <c r="A45" t="s">
        <v>122</v>
      </c>
      <c r="C45" t="s">
        <v>33</v>
      </c>
      <c r="D45" t="s">
        <v>33</v>
      </c>
      <c r="E45">
        <v>42</v>
      </c>
      <c r="F45" t="s">
        <v>123</v>
      </c>
      <c r="G45">
        <v>1750</v>
      </c>
      <c r="H45">
        <v>29</v>
      </c>
      <c r="I45">
        <v>5</v>
      </c>
      <c r="M45">
        <v>85</v>
      </c>
      <c r="N45" s="1">
        <v>15</v>
      </c>
      <c r="O45">
        <f t="shared" si="0"/>
        <v>15</v>
      </c>
      <c r="P45" t="str">
        <f t="shared" si="1"/>
        <v>With Affectionate</v>
      </c>
    </row>
    <row r="46" spans="1:16" x14ac:dyDescent="0.35">
      <c r="A46" t="s">
        <v>124</v>
      </c>
      <c r="C46" t="s">
        <v>29</v>
      </c>
      <c r="D46" t="s">
        <v>30</v>
      </c>
      <c r="E46">
        <v>30</v>
      </c>
      <c r="F46" t="s">
        <v>125</v>
      </c>
      <c r="G46">
        <v>900</v>
      </c>
      <c r="H46">
        <v>49</v>
      </c>
      <c r="I46">
        <v>5</v>
      </c>
      <c r="M46">
        <v>11</v>
      </c>
      <c r="N46" s="1">
        <v>5</v>
      </c>
      <c r="O46">
        <f t="shared" si="0"/>
        <v>5</v>
      </c>
      <c r="P46" t="str">
        <f t="shared" si="1"/>
        <v>Without Affectionate</v>
      </c>
    </row>
    <row r="47" spans="1:16" x14ac:dyDescent="0.35">
      <c r="A47" t="s">
        <v>126</v>
      </c>
      <c r="C47" t="s">
        <v>19</v>
      </c>
      <c r="D47" t="s">
        <v>49</v>
      </c>
      <c r="E47">
        <v>15</v>
      </c>
      <c r="F47" t="s">
        <v>127</v>
      </c>
      <c r="G47">
        <v>900</v>
      </c>
      <c r="I47">
        <v>3</v>
      </c>
      <c r="M47">
        <v>98</v>
      </c>
      <c r="N47" s="1">
        <v>100</v>
      </c>
      <c r="O47">
        <f t="shared" si="0"/>
        <v>100</v>
      </c>
      <c r="P47" t="str">
        <f t="shared" si="1"/>
        <v>Without Affectionate</v>
      </c>
    </row>
    <row r="48" spans="1:16" x14ac:dyDescent="0.35">
      <c r="A48" t="s">
        <v>128</v>
      </c>
      <c r="C48" t="s">
        <v>33</v>
      </c>
      <c r="D48" t="s">
        <v>49</v>
      </c>
      <c r="E48">
        <v>35</v>
      </c>
      <c r="F48" t="s">
        <v>129</v>
      </c>
      <c r="G48">
        <v>1100</v>
      </c>
      <c r="H48">
        <v>30</v>
      </c>
      <c r="I48">
        <v>6</v>
      </c>
      <c r="M48">
        <v>127</v>
      </c>
      <c r="N48" s="1">
        <v>107</v>
      </c>
      <c r="O48">
        <f t="shared" si="0"/>
        <v>107</v>
      </c>
      <c r="P48" t="str">
        <f t="shared" si="1"/>
        <v>Without Affectionate</v>
      </c>
    </row>
    <row r="49" spans="1:16" x14ac:dyDescent="0.35">
      <c r="A49" t="s">
        <v>130</v>
      </c>
      <c r="C49" t="s">
        <v>19</v>
      </c>
      <c r="D49" t="s">
        <v>49</v>
      </c>
      <c r="E49">
        <v>17</v>
      </c>
      <c r="F49" t="s">
        <v>131</v>
      </c>
      <c r="G49">
        <v>750</v>
      </c>
      <c r="H49">
        <v>19</v>
      </c>
      <c r="I49">
        <v>3</v>
      </c>
      <c r="M49">
        <v>26</v>
      </c>
      <c r="N49" s="1">
        <v>109</v>
      </c>
      <c r="O49">
        <f t="shared" si="0"/>
        <v>109</v>
      </c>
      <c r="P49" t="str">
        <f t="shared" si="1"/>
        <v>Without Affectionate</v>
      </c>
    </row>
    <row r="50" spans="1:16" x14ac:dyDescent="0.35">
      <c r="A50" t="s">
        <v>132</v>
      </c>
      <c r="B50" t="s">
        <v>133</v>
      </c>
      <c r="C50" t="s">
        <v>15</v>
      </c>
      <c r="D50" t="s">
        <v>16</v>
      </c>
      <c r="E50">
        <v>4</v>
      </c>
      <c r="F50" t="s">
        <v>134</v>
      </c>
      <c r="G50">
        <v>900</v>
      </c>
      <c r="I50">
        <v>3</v>
      </c>
      <c r="M50">
        <v>94</v>
      </c>
      <c r="N50" s="1">
        <v>895</v>
      </c>
      <c r="O50">
        <f t="shared" si="0"/>
        <v>895</v>
      </c>
      <c r="P50" t="str">
        <f t="shared" si="1"/>
        <v>Without Affectionate</v>
      </c>
    </row>
    <row r="51" spans="1:16" x14ac:dyDescent="0.35">
      <c r="A51" t="s">
        <v>135</v>
      </c>
      <c r="B51" t="s">
        <v>136</v>
      </c>
      <c r="C51" t="s">
        <v>26</v>
      </c>
      <c r="D51" t="s">
        <v>26</v>
      </c>
      <c r="E51">
        <v>28</v>
      </c>
      <c r="F51" t="s">
        <v>137</v>
      </c>
      <c r="G51">
        <v>1350</v>
      </c>
      <c r="H51">
        <v>66</v>
      </c>
      <c r="I51">
        <v>6</v>
      </c>
      <c r="M51">
        <v>60</v>
      </c>
      <c r="N51" s="1">
        <v>576</v>
      </c>
      <c r="O51">
        <f t="shared" si="0"/>
        <v>576</v>
      </c>
      <c r="P51" t="str">
        <f t="shared" si="1"/>
        <v>Without Affectionate</v>
      </c>
    </row>
    <row r="52" spans="1:16" x14ac:dyDescent="0.35">
      <c r="A52" t="s">
        <v>138</v>
      </c>
      <c r="B52" t="s">
        <v>139</v>
      </c>
      <c r="C52" t="s">
        <v>29</v>
      </c>
      <c r="D52" t="s">
        <v>30</v>
      </c>
      <c r="E52">
        <v>55</v>
      </c>
      <c r="F52" t="s">
        <v>140</v>
      </c>
      <c r="G52">
        <v>1350</v>
      </c>
      <c r="H52">
        <v>69</v>
      </c>
      <c r="I52">
        <v>6</v>
      </c>
      <c r="J52">
        <v>1</v>
      </c>
      <c r="M52">
        <v>51</v>
      </c>
      <c r="N52" s="1">
        <v>300</v>
      </c>
      <c r="O52">
        <f t="shared" si="0"/>
        <v>300</v>
      </c>
      <c r="P52" t="str">
        <f t="shared" si="1"/>
        <v>Without Affectionate</v>
      </c>
    </row>
    <row r="53" spans="1:16" x14ac:dyDescent="0.35">
      <c r="A53" t="s">
        <v>141</v>
      </c>
      <c r="B53" t="s">
        <v>142</v>
      </c>
      <c r="C53" t="s">
        <v>26</v>
      </c>
      <c r="D53" t="s">
        <v>26</v>
      </c>
      <c r="E53">
        <v>7</v>
      </c>
      <c r="F53" t="s">
        <v>143</v>
      </c>
      <c r="G53">
        <v>850</v>
      </c>
      <c r="H53">
        <v>35</v>
      </c>
      <c r="I53">
        <v>4</v>
      </c>
      <c r="M53">
        <v>69</v>
      </c>
      <c r="N53" s="1">
        <v>115</v>
      </c>
      <c r="O53">
        <f t="shared" si="0"/>
        <v>115</v>
      </c>
      <c r="P53" t="str">
        <f t="shared" si="1"/>
        <v>Without Affectionate</v>
      </c>
    </row>
    <row r="54" spans="1:16" x14ac:dyDescent="0.35">
      <c r="A54" t="s">
        <v>144</v>
      </c>
      <c r="C54" t="s">
        <v>33</v>
      </c>
      <c r="D54" t="s">
        <v>20</v>
      </c>
      <c r="E54">
        <v>21</v>
      </c>
      <c r="F54" t="s">
        <v>145</v>
      </c>
      <c r="G54">
        <v>1000</v>
      </c>
      <c r="I54">
        <v>3</v>
      </c>
      <c r="M54">
        <v>175</v>
      </c>
      <c r="N54" s="1">
        <v>110</v>
      </c>
      <c r="O54">
        <f t="shared" si="0"/>
        <v>110</v>
      </c>
      <c r="P54" t="str">
        <f t="shared" si="1"/>
        <v>Without Affectionate</v>
      </c>
    </row>
    <row r="55" spans="1:16" x14ac:dyDescent="0.35">
      <c r="A55" t="s">
        <v>146</v>
      </c>
      <c r="C55" t="s">
        <v>29</v>
      </c>
      <c r="D55" t="s">
        <v>30</v>
      </c>
      <c r="E55">
        <v>47</v>
      </c>
      <c r="F55" t="s">
        <v>147</v>
      </c>
      <c r="G55">
        <v>1750</v>
      </c>
      <c r="I55">
        <v>6</v>
      </c>
      <c r="M55">
        <v>37</v>
      </c>
      <c r="N55" s="1">
        <v>11</v>
      </c>
      <c r="O55">
        <f t="shared" si="0"/>
        <v>11</v>
      </c>
      <c r="P55" t="str">
        <f t="shared" si="1"/>
        <v>Without Affectionate</v>
      </c>
    </row>
    <row r="56" spans="1:16" x14ac:dyDescent="0.35">
      <c r="A56" t="s">
        <v>148</v>
      </c>
      <c r="D56" t="s">
        <v>20</v>
      </c>
      <c r="E56">
        <v>18</v>
      </c>
      <c r="F56" t="s">
        <v>149</v>
      </c>
      <c r="G56">
        <v>900</v>
      </c>
      <c r="I56">
        <v>3</v>
      </c>
      <c r="N56" s="1">
        <v>103</v>
      </c>
      <c r="O56">
        <f t="shared" si="0"/>
        <v>103</v>
      </c>
      <c r="P56" t="str">
        <f t="shared" si="1"/>
        <v>Without Affectionate</v>
      </c>
    </row>
    <row r="57" spans="1:16" x14ac:dyDescent="0.35">
      <c r="A57" t="s">
        <v>150</v>
      </c>
      <c r="C57" t="s">
        <v>33</v>
      </c>
      <c r="D57" t="s">
        <v>33</v>
      </c>
      <c r="E57">
        <v>27</v>
      </c>
      <c r="F57" t="s">
        <v>151</v>
      </c>
      <c r="G57">
        <v>400</v>
      </c>
      <c r="I57">
        <v>6</v>
      </c>
      <c r="N57" s="1">
        <v>178</v>
      </c>
      <c r="O57">
        <f t="shared" si="0"/>
        <v>178</v>
      </c>
      <c r="P57" t="str">
        <f t="shared" si="1"/>
        <v>Without Affectionate</v>
      </c>
    </row>
    <row r="58" spans="1:16" x14ac:dyDescent="0.35">
      <c r="A58" t="s">
        <v>152</v>
      </c>
      <c r="C58" t="s">
        <v>33</v>
      </c>
      <c r="D58" t="s">
        <v>33</v>
      </c>
      <c r="E58">
        <v>21</v>
      </c>
      <c r="F58" t="s">
        <v>57</v>
      </c>
      <c r="G58">
        <v>600</v>
      </c>
      <c r="H58">
        <v>10</v>
      </c>
      <c r="I58">
        <v>6</v>
      </c>
      <c r="M58">
        <v>56</v>
      </c>
      <c r="N58" s="1">
        <v>209</v>
      </c>
      <c r="O58">
        <f t="shared" si="0"/>
        <v>209</v>
      </c>
      <c r="P58" t="str">
        <f t="shared" si="1"/>
        <v>Without Affectionate</v>
      </c>
    </row>
    <row r="59" spans="1:16" x14ac:dyDescent="0.35">
      <c r="A59" t="s">
        <v>153</v>
      </c>
      <c r="C59" t="s">
        <v>29</v>
      </c>
      <c r="D59" t="s">
        <v>30</v>
      </c>
      <c r="E59">
        <v>63</v>
      </c>
      <c r="F59" t="s">
        <v>154</v>
      </c>
      <c r="G59">
        <v>1750</v>
      </c>
      <c r="I59">
        <v>6</v>
      </c>
      <c r="N59" s="1">
        <v>315</v>
      </c>
      <c r="O59">
        <f t="shared" si="0"/>
        <v>315</v>
      </c>
      <c r="P59" t="str">
        <f t="shared" si="1"/>
        <v>Without Affectionate</v>
      </c>
    </row>
    <row r="60" spans="1:16" x14ac:dyDescent="0.35">
      <c r="A60" t="s">
        <v>155</v>
      </c>
      <c r="C60" t="s">
        <v>15</v>
      </c>
      <c r="D60" t="s">
        <v>16</v>
      </c>
      <c r="E60">
        <v>7</v>
      </c>
      <c r="F60" t="s">
        <v>156</v>
      </c>
      <c r="G60">
        <v>1350</v>
      </c>
      <c r="H60">
        <v>44</v>
      </c>
      <c r="I60">
        <v>2</v>
      </c>
      <c r="M60">
        <v>19</v>
      </c>
      <c r="N60" s="1">
        <v>25</v>
      </c>
      <c r="O60">
        <f t="shared" si="0"/>
        <v>25</v>
      </c>
      <c r="P60" t="str">
        <f t="shared" si="1"/>
        <v>Without Affectionate</v>
      </c>
    </row>
    <row r="61" spans="1:16" x14ac:dyDescent="0.35">
      <c r="A61" t="s">
        <v>157</v>
      </c>
      <c r="C61" t="s">
        <v>19</v>
      </c>
      <c r="D61" t="s">
        <v>49</v>
      </c>
      <c r="E61">
        <v>33</v>
      </c>
      <c r="F61" t="s">
        <v>158</v>
      </c>
      <c r="G61">
        <v>800</v>
      </c>
      <c r="H61">
        <v>27</v>
      </c>
      <c r="I61">
        <v>3</v>
      </c>
      <c r="M61">
        <v>43</v>
      </c>
      <c r="N61" s="1">
        <v>89</v>
      </c>
      <c r="O61">
        <f t="shared" si="0"/>
        <v>89</v>
      </c>
      <c r="P61" t="str">
        <f t="shared" si="1"/>
        <v>With Affectionate</v>
      </c>
    </row>
    <row r="62" spans="1:16" x14ac:dyDescent="0.35">
      <c r="A62" t="s">
        <v>159</v>
      </c>
      <c r="C62" t="s">
        <v>15</v>
      </c>
      <c r="D62" t="s">
        <v>16</v>
      </c>
      <c r="E62">
        <v>2</v>
      </c>
      <c r="F62" t="s">
        <v>160</v>
      </c>
      <c r="G62">
        <v>700</v>
      </c>
      <c r="H62">
        <v>67</v>
      </c>
      <c r="I62">
        <v>2</v>
      </c>
      <c r="M62">
        <v>32</v>
      </c>
      <c r="N62" s="1">
        <v>72</v>
      </c>
      <c r="O62">
        <f t="shared" si="0"/>
        <v>72</v>
      </c>
      <c r="P62" t="str">
        <f t="shared" si="1"/>
        <v>With Affectionate</v>
      </c>
    </row>
    <row r="63" spans="1:16" x14ac:dyDescent="0.35">
      <c r="A63" t="s">
        <v>161</v>
      </c>
      <c r="C63" t="s">
        <v>15</v>
      </c>
      <c r="D63" t="s">
        <v>16</v>
      </c>
      <c r="E63">
        <v>4</v>
      </c>
      <c r="F63" t="s">
        <v>162</v>
      </c>
      <c r="G63">
        <v>900</v>
      </c>
      <c r="H63">
        <v>61</v>
      </c>
      <c r="I63">
        <v>2</v>
      </c>
      <c r="M63">
        <v>79</v>
      </c>
      <c r="N63" s="1">
        <v>81</v>
      </c>
      <c r="O63">
        <f t="shared" si="0"/>
        <v>81</v>
      </c>
      <c r="P63" t="str">
        <f t="shared" si="1"/>
        <v>Without Affectionate</v>
      </c>
    </row>
    <row r="64" spans="1:16" x14ac:dyDescent="0.35">
      <c r="A64" t="s">
        <v>163</v>
      </c>
      <c r="C64" t="s">
        <v>29</v>
      </c>
      <c r="D64" t="s">
        <v>37</v>
      </c>
      <c r="E64">
        <v>25</v>
      </c>
      <c r="F64" t="s">
        <v>164</v>
      </c>
      <c r="G64">
        <v>2000</v>
      </c>
      <c r="I64">
        <v>5</v>
      </c>
      <c r="N64" s="1">
        <v>64</v>
      </c>
      <c r="O64">
        <f t="shared" si="0"/>
        <v>64</v>
      </c>
      <c r="P64" t="str">
        <f t="shared" si="1"/>
        <v>With Affectionate</v>
      </c>
    </row>
    <row r="65" spans="1:16" x14ac:dyDescent="0.35">
      <c r="A65" t="s">
        <v>165</v>
      </c>
      <c r="C65" t="s">
        <v>29</v>
      </c>
      <c r="D65" t="s">
        <v>37</v>
      </c>
      <c r="E65">
        <v>32</v>
      </c>
      <c r="F65" t="s">
        <v>166</v>
      </c>
      <c r="G65">
        <v>900</v>
      </c>
      <c r="I65">
        <v>4</v>
      </c>
      <c r="M65">
        <v>179</v>
      </c>
      <c r="N65" s="1">
        <v>210</v>
      </c>
      <c r="O65">
        <f t="shared" si="0"/>
        <v>210</v>
      </c>
      <c r="P65" t="str">
        <f t="shared" si="1"/>
        <v>Without Affectionate</v>
      </c>
    </row>
    <row r="66" spans="1:16" x14ac:dyDescent="0.35">
      <c r="A66" t="s">
        <v>167</v>
      </c>
      <c r="C66" t="s">
        <v>19</v>
      </c>
      <c r="D66" t="s">
        <v>49</v>
      </c>
      <c r="E66">
        <v>32</v>
      </c>
      <c r="F66" t="s">
        <v>97</v>
      </c>
      <c r="G66">
        <v>1500</v>
      </c>
      <c r="H66">
        <v>7</v>
      </c>
      <c r="I66">
        <v>3</v>
      </c>
      <c r="M66">
        <v>1</v>
      </c>
      <c r="N66" s="1">
        <v>111</v>
      </c>
      <c r="O66">
        <f t="shared" si="0"/>
        <v>111</v>
      </c>
      <c r="P66" t="str">
        <f t="shared" si="1"/>
        <v>Without Affectionate</v>
      </c>
    </row>
    <row r="67" spans="1:16" x14ac:dyDescent="0.35">
      <c r="A67" t="s">
        <v>168</v>
      </c>
      <c r="B67" t="s">
        <v>169</v>
      </c>
      <c r="C67" t="s">
        <v>42</v>
      </c>
      <c r="D67" t="s">
        <v>37</v>
      </c>
      <c r="E67">
        <v>26</v>
      </c>
      <c r="F67" t="s">
        <v>170</v>
      </c>
      <c r="G67">
        <v>700</v>
      </c>
      <c r="H67">
        <v>76</v>
      </c>
      <c r="I67">
        <v>3</v>
      </c>
      <c r="M67">
        <v>76</v>
      </c>
      <c r="N67" s="1">
        <v>204</v>
      </c>
      <c r="O67">
        <f t="shared" ref="O67:O130" si="2">AVERAGEIF($A:$A, A67, $N:$N)</f>
        <v>204</v>
      </c>
      <c r="P67" t="str">
        <f t="shared" ref="P67:P130" si="3">IF(ISNUMBER(SEARCH("Affectionate",F66)),"With Affectionate","Without Affectionate")</f>
        <v>With Affectionate</v>
      </c>
    </row>
    <row r="68" spans="1:16" x14ac:dyDescent="0.35">
      <c r="A68" t="s">
        <v>171</v>
      </c>
      <c r="C68" t="s">
        <v>66</v>
      </c>
      <c r="D68" t="s">
        <v>20</v>
      </c>
      <c r="E68">
        <v>11</v>
      </c>
      <c r="F68" t="s">
        <v>172</v>
      </c>
      <c r="G68">
        <v>900</v>
      </c>
      <c r="I68">
        <v>3</v>
      </c>
      <c r="M68">
        <v>184</v>
      </c>
      <c r="N68" s="1">
        <v>35</v>
      </c>
      <c r="O68">
        <f t="shared" si="2"/>
        <v>35</v>
      </c>
      <c r="P68" t="str">
        <f t="shared" si="3"/>
        <v>Without Affectionate</v>
      </c>
    </row>
    <row r="69" spans="1:16" x14ac:dyDescent="0.35">
      <c r="A69" t="s">
        <v>173</v>
      </c>
      <c r="B69" t="s">
        <v>174</v>
      </c>
      <c r="C69" t="s">
        <v>19</v>
      </c>
      <c r="D69" t="s">
        <v>49</v>
      </c>
      <c r="E69">
        <v>32</v>
      </c>
      <c r="F69" t="s">
        <v>175</v>
      </c>
      <c r="G69">
        <v>1000</v>
      </c>
      <c r="H69">
        <v>37</v>
      </c>
      <c r="I69">
        <v>3</v>
      </c>
      <c r="M69">
        <v>140</v>
      </c>
      <c r="N69" s="1">
        <v>11</v>
      </c>
      <c r="O69">
        <f t="shared" si="2"/>
        <v>11</v>
      </c>
      <c r="P69" t="str">
        <f t="shared" si="3"/>
        <v>With Affectionate</v>
      </c>
    </row>
    <row r="70" spans="1:16" x14ac:dyDescent="0.35">
      <c r="A70" t="s">
        <v>176</v>
      </c>
      <c r="C70" t="s">
        <v>19</v>
      </c>
      <c r="D70" t="s">
        <v>49</v>
      </c>
      <c r="E70">
        <v>8</v>
      </c>
      <c r="F70" t="s">
        <v>177</v>
      </c>
      <c r="G70">
        <v>1000</v>
      </c>
      <c r="I70">
        <v>3</v>
      </c>
      <c r="N70" s="1">
        <v>115</v>
      </c>
      <c r="O70">
        <f t="shared" si="2"/>
        <v>115</v>
      </c>
      <c r="P70" t="str">
        <f t="shared" si="3"/>
        <v>With Affectionate</v>
      </c>
    </row>
    <row r="71" spans="1:16" x14ac:dyDescent="0.35">
      <c r="A71" t="s">
        <v>178</v>
      </c>
      <c r="C71" t="s">
        <v>19</v>
      </c>
      <c r="D71" t="s">
        <v>49</v>
      </c>
      <c r="E71">
        <v>10</v>
      </c>
      <c r="F71" t="s">
        <v>179</v>
      </c>
      <c r="G71">
        <v>700</v>
      </c>
      <c r="H71">
        <v>20</v>
      </c>
      <c r="I71">
        <v>3</v>
      </c>
      <c r="M71">
        <v>29</v>
      </c>
      <c r="N71" s="1">
        <v>203</v>
      </c>
      <c r="O71">
        <f t="shared" si="2"/>
        <v>203</v>
      </c>
      <c r="P71" t="str">
        <f t="shared" si="3"/>
        <v>With Affectionate</v>
      </c>
    </row>
    <row r="72" spans="1:16" x14ac:dyDescent="0.35">
      <c r="A72" t="s">
        <v>180</v>
      </c>
      <c r="C72" t="s">
        <v>33</v>
      </c>
      <c r="D72" t="s">
        <v>33</v>
      </c>
      <c r="E72">
        <v>31</v>
      </c>
      <c r="F72" t="s">
        <v>181</v>
      </c>
      <c r="G72">
        <v>500</v>
      </c>
      <c r="H72">
        <v>16</v>
      </c>
      <c r="I72">
        <v>5</v>
      </c>
      <c r="M72">
        <v>40</v>
      </c>
      <c r="N72" s="1">
        <v>45</v>
      </c>
      <c r="O72">
        <f t="shared" si="2"/>
        <v>45</v>
      </c>
      <c r="P72" t="str">
        <f t="shared" si="3"/>
        <v>Without Affectionate</v>
      </c>
    </row>
    <row r="73" spans="1:16" x14ac:dyDescent="0.35">
      <c r="A73" t="s">
        <v>182</v>
      </c>
      <c r="C73" t="s">
        <v>66</v>
      </c>
      <c r="D73" t="s">
        <v>70</v>
      </c>
      <c r="E73">
        <v>55</v>
      </c>
      <c r="F73" t="s">
        <v>95</v>
      </c>
      <c r="G73">
        <v>350</v>
      </c>
      <c r="H73">
        <v>44</v>
      </c>
      <c r="I73">
        <v>3</v>
      </c>
      <c r="M73">
        <v>130</v>
      </c>
      <c r="N73" s="1">
        <v>59</v>
      </c>
      <c r="O73">
        <f t="shared" si="2"/>
        <v>59</v>
      </c>
      <c r="P73" t="str">
        <f t="shared" si="3"/>
        <v>Without Affectionate</v>
      </c>
    </row>
    <row r="74" spans="1:16" x14ac:dyDescent="0.35">
      <c r="A74" t="s">
        <v>183</v>
      </c>
      <c r="C74" t="s">
        <v>33</v>
      </c>
      <c r="D74" t="s">
        <v>33</v>
      </c>
      <c r="E74">
        <v>13</v>
      </c>
      <c r="F74" t="s">
        <v>184</v>
      </c>
      <c r="G74">
        <v>1100</v>
      </c>
      <c r="H74">
        <v>26</v>
      </c>
      <c r="I74">
        <v>4</v>
      </c>
      <c r="M74">
        <v>68</v>
      </c>
      <c r="N74" s="1">
        <v>55</v>
      </c>
      <c r="O74">
        <f t="shared" si="2"/>
        <v>55</v>
      </c>
      <c r="P74" t="str">
        <f t="shared" si="3"/>
        <v>Without Affectionate</v>
      </c>
    </row>
    <row r="75" spans="1:16" x14ac:dyDescent="0.35">
      <c r="A75" t="s">
        <v>185</v>
      </c>
      <c r="C75" t="s">
        <v>42</v>
      </c>
      <c r="D75" t="s">
        <v>16</v>
      </c>
      <c r="E75">
        <v>6</v>
      </c>
      <c r="F75" t="s">
        <v>186</v>
      </c>
      <c r="G75">
        <v>2700</v>
      </c>
      <c r="I75">
        <v>3</v>
      </c>
      <c r="M75">
        <v>81</v>
      </c>
      <c r="N75" s="1">
        <v>23</v>
      </c>
      <c r="O75">
        <f t="shared" si="2"/>
        <v>23</v>
      </c>
      <c r="P75" t="str">
        <f t="shared" si="3"/>
        <v>With Affectionate</v>
      </c>
    </row>
    <row r="76" spans="1:16" x14ac:dyDescent="0.35">
      <c r="A76" t="s">
        <v>187</v>
      </c>
      <c r="C76" t="s">
        <v>19</v>
      </c>
      <c r="D76" t="s">
        <v>49</v>
      </c>
      <c r="E76">
        <v>34</v>
      </c>
      <c r="F76" t="s">
        <v>188</v>
      </c>
      <c r="G76">
        <v>700</v>
      </c>
      <c r="H76">
        <v>41</v>
      </c>
      <c r="I76">
        <v>3</v>
      </c>
      <c r="M76">
        <v>171</v>
      </c>
      <c r="N76" s="1">
        <v>45</v>
      </c>
      <c r="O76">
        <f t="shared" si="2"/>
        <v>45</v>
      </c>
      <c r="P76" t="str">
        <f t="shared" si="3"/>
        <v>With Affectionate</v>
      </c>
    </row>
    <row r="77" spans="1:16" x14ac:dyDescent="0.35">
      <c r="A77" t="s">
        <v>189</v>
      </c>
      <c r="C77" t="s">
        <v>66</v>
      </c>
      <c r="D77" t="s">
        <v>70</v>
      </c>
      <c r="E77">
        <v>7</v>
      </c>
      <c r="F77" t="s">
        <v>190</v>
      </c>
      <c r="G77">
        <v>600</v>
      </c>
      <c r="H77">
        <v>49</v>
      </c>
      <c r="I77">
        <v>3</v>
      </c>
      <c r="M77">
        <v>13</v>
      </c>
      <c r="N77" s="1">
        <v>101</v>
      </c>
      <c r="O77">
        <f t="shared" si="2"/>
        <v>101</v>
      </c>
      <c r="P77" t="str">
        <f t="shared" si="3"/>
        <v>Without Affectionate</v>
      </c>
    </row>
    <row r="78" spans="1:16" x14ac:dyDescent="0.35">
      <c r="A78" t="s">
        <v>191</v>
      </c>
      <c r="C78" t="s">
        <v>42</v>
      </c>
      <c r="D78" t="s">
        <v>16</v>
      </c>
      <c r="E78">
        <v>25</v>
      </c>
      <c r="F78" t="s">
        <v>192</v>
      </c>
      <c r="G78">
        <v>800</v>
      </c>
      <c r="H78">
        <v>39</v>
      </c>
      <c r="I78">
        <v>3</v>
      </c>
      <c r="M78">
        <v>63</v>
      </c>
      <c r="N78" s="1">
        <v>115</v>
      </c>
      <c r="O78">
        <f t="shared" si="2"/>
        <v>115</v>
      </c>
      <c r="P78" t="str">
        <f t="shared" si="3"/>
        <v>Without Affectionate</v>
      </c>
    </row>
    <row r="79" spans="1:16" x14ac:dyDescent="0.35">
      <c r="A79" t="s">
        <v>193</v>
      </c>
      <c r="B79" t="s">
        <v>194</v>
      </c>
      <c r="C79" t="s">
        <v>26</v>
      </c>
      <c r="D79" t="s">
        <v>26</v>
      </c>
      <c r="E79">
        <v>10</v>
      </c>
      <c r="F79" t="s">
        <v>195</v>
      </c>
      <c r="G79">
        <v>1500</v>
      </c>
      <c r="H79">
        <v>62</v>
      </c>
      <c r="I79">
        <v>3</v>
      </c>
      <c r="M79">
        <v>182</v>
      </c>
      <c r="N79" s="1">
        <v>309</v>
      </c>
      <c r="O79">
        <f t="shared" si="2"/>
        <v>309</v>
      </c>
      <c r="P79" t="str">
        <f t="shared" si="3"/>
        <v>Without Affectionate</v>
      </c>
    </row>
    <row r="80" spans="1:16" x14ac:dyDescent="0.35">
      <c r="A80" t="s">
        <v>196</v>
      </c>
      <c r="E80">
        <v>18</v>
      </c>
      <c r="F80" t="s">
        <v>23</v>
      </c>
      <c r="N80" s="1">
        <v>250</v>
      </c>
      <c r="O80">
        <f t="shared" si="2"/>
        <v>250</v>
      </c>
      <c r="P80" t="str">
        <f t="shared" si="3"/>
        <v>With Affectionate</v>
      </c>
    </row>
    <row r="81" spans="1:16" x14ac:dyDescent="0.35">
      <c r="A81" t="s">
        <v>197</v>
      </c>
      <c r="E81">
        <v>16</v>
      </c>
      <c r="F81" t="s">
        <v>23</v>
      </c>
      <c r="N81" s="1">
        <v>301</v>
      </c>
      <c r="O81">
        <f t="shared" si="2"/>
        <v>301</v>
      </c>
      <c r="P81" t="str">
        <f t="shared" si="3"/>
        <v>Without Affectionate</v>
      </c>
    </row>
    <row r="82" spans="1:16" x14ac:dyDescent="0.35">
      <c r="A82" t="s">
        <v>198</v>
      </c>
      <c r="B82" t="s">
        <v>199</v>
      </c>
      <c r="C82" t="s">
        <v>29</v>
      </c>
      <c r="D82" t="s">
        <v>30</v>
      </c>
      <c r="E82">
        <v>43</v>
      </c>
      <c r="F82" t="s">
        <v>200</v>
      </c>
      <c r="G82">
        <v>900</v>
      </c>
      <c r="H82">
        <v>5</v>
      </c>
      <c r="I82">
        <v>6</v>
      </c>
      <c r="J82">
        <v>1</v>
      </c>
      <c r="M82">
        <v>16</v>
      </c>
      <c r="N82" s="1">
        <v>256</v>
      </c>
      <c r="O82">
        <f t="shared" si="2"/>
        <v>256</v>
      </c>
      <c r="P82" t="str">
        <f t="shared" si="3"/>
        <v>Without Affectionate</v>
      </c>
    </row>
    <row r="83" spans="1:16" x14ac:dyDescent="0.35">
      <c r="A83" t="s">
        <v>201</v>
      </c>
      <c r="C83" t="s">
        <v>29</v>
      </c>
      <c r="D83" t="s">
        <v>30</v>
      </c>
      <c r="E83">
        <v>43</v>
      </c>
      <c r="F83" t="s">
        <v>202</v>
      </c>
      <c r="G83">
        <v>39000</v>
      </c>
      <c r="I83">
        <v>5</v>
      </c>
      <c r="K83">
        <v>1</v>
      </c>
      <c r="N83" s="1">
        <v>22</v>
      </c>
      <c r="O83">
        <f t="shared" si="2"/>
        <v>22</v>
      </c>
      <c r="P83" t="str">
        <f t="shared" si="3"/>
        <v>Without Affectionate</v>
      </c>
    </row>
    <row r="84" spans="1:16" x14ac:dyDescent="0.35">
      <c r="A84" t="s">
        <v>203</v>
      </c>
      <c r="C84" t="s">
        <v>29</v>
      </c>
      <c r="D84" t="s">
        <v>30</v>
      </c>
      <c r="E84">
        <v>60</v>
      </c>
      <c r="F84" t="s">
        <v>204</v>
      </c>
      <c r="G84">
        <v>1150</v>
      </c>
      <c r="I84">
        <v>6</v>
      </c>
      <c r="M84">
        <v>67</v>
      </c>
      <c r="N84" s="1">
        <v>21</v>
      </c>
      <c r="O84">
        <f t="shared" si="2"/>
        <v>21</v>
      </c>
      <c r="P84" t="str">
        <f t="shared" si="3"/>
        <v>With Affectionate</v>
      </c>
    </row>
    <row r="85" spans="1:16" x14ac:dyDescent="0.35">
      <c r="A85" t="s">
        <v>205</v>
      </c>
      <c r="C85" t="s">
        <v>33</v>
      </c>
      <c r="D85" t="s">
        <v>33</v>
      </c>
      <c r="E85">
        <v>28</v>
      </c>
      <c r="F85" t="s">
        <v>206</v>
      </c>
      <c r="G85">
        <v>1100</v>
      </c>
      <c r="I85">
        <v>5</v>
      </c>
      <c r="N85" s="1">
        <v>14</v>
      </c>
      <c r="O85">
        <f t="shared" si="2"/>
        <v>14</v>
      </c>
      <c r="P85" t="str">
        <f t="shared" si="3"/>
        <v>Without Affectionate</v>
      </c>
    </row>
    <row r="86" spans="1:16" x14ac:dyDescent="0.35">
      <c r="A86" t="s">
        <v>207</v>
      </c>
      <c r="C86" t="s">
        <v>42</v>
      </c>
      <c r="D86" t="s">
        <v>16</v>
      </c>
      <c r="E86">
        <v>25</v>
      </c>
      <c r="F86" t="s">
        <v>208</v>
      </c>
      <c r="G86">
        <v>1600</v>
      </c>
      <c r="H86">
        <v>77</v>
      </c>
      <c r="I86">
        <v>3</v>
      </c>
      <c r="M86">
        <v>5</v>
      </c>
      <c r="N86" s="1">
        <v>145</v>
      </c>
      <c r="O86">
        <f t="shared" si="2"/>
        <v>145</v>
      </c>
      <c r="P86" t="str">
        <f t="shared" si="3"/>
        <v>With Affectionate</v>
      </c>
    </row>
    <row r="87" spans="1:16" x14ac:dyDescent="0.35">
      <c r="A87" t="s">
        <v>209</v>
      </c>
      <c r="C87" t="s">
        <v>19</v>
      </c>
      <c r="D87" t="s">
        <v>49</v>
      </c>
      <c r="E87">
        <v>14</v>
      </c>
      <c r="F87" t="s">
        <v>210</v>
      </c>
      <c r="G87">
        <v>1050</v>
      </c>
      <c r="H87">
        <v>18</v>
      </c>
      <c r="I87">
        <v>4</v>
      </c>
      <c r="M87">
        <v>52</v>
      </c>
      <c r="N87" s="1">
        <v>76</v>
      </c>
      <c r="O87">
        <f t="shared" si="2"/>
        <v>76</v>
      </c>
      <c r="P87" t="str">
        <f t="shared" si="3"/>
        <v>Without Affectionate</v>
      </c>
    </row>
    <row r="88" spans="1:16" x14ac:dyDescent="0.35">
      <c r="A88" t="s">
        <v>211</v>
      </c>
      <c r="C88" t="s">
        <v>66</v>
      </c>
      <c r="D88" t="s">
        <v>70</v>
      </c>
      <c r="E88">
        <v>26</v>
      </c>
      <c r="F88" t="s">
        <v>212</v>
      </c>
      <c r="G88">
        <v>1100</v>
      </c>
      <c r="I88">
        <v>4</v>
      </c>
      <c r="M88">
        <v>178</v>
      </c>
      <c r="N88" s="1">
        <v>54</v>
      </c>
      <c r="O88">
        <f t="shared" si="2"/>
        <v>54</v>
      </c>
      <c r="P88" t="str">
        <f t="shared" si="3"/>
        <v>With Affectionate</v>
      </c>
    </row>
    <row r="89" spans="1:16" x14ac:dyDescent="0.35">
      <c r="A89" t="s">
        <v>213</v>
      </c>
      <c r="C89" t="s">
        <v>19</v>
      </c>
      <c r="D89" t="s">
        <v>49</v>
      </c>
      <c r="E89">
        <v>25</v>
      </c>
      <c r="F89" t="s">
        <v>214</v>
      </c>
      <c r="G89">
        <v>450</v>
      </c>
      <c r="H89">
        <v>43</v>
      </c>
      <c r="I89">
        <v>4</v>
      </c>
      <c r="M89">
        <v>113</v>
      </c>
      <c r="N89" s="1">
        <v>153</v>
      </c>
      <c r="O89">
        <f t="shared" si="2"/>
        <v>153</v>
      </c>
      <c r="P89" t="str">
        <f t="shared" si="3"/>
        <v>Without Affectionate</v>
      </c>
    </row>
    <row r="90" spans="1:16" x14ac:dyDescent="0.35">
      <c r="A90" t="s">
        <v>215</v>
      </c>
      <c r="C90" t="s">
        <v>19</v>
      </c>
      <c r="D90" t="s">
        <v>49</v>
      </c>
      <c r="E90">
        <v>30</v>
      </c>
      <c r="F90" t="s">
        <v>216</v>
      </c>
      <c r="G90">
        <v>500</v>
      </c>
      <c r="H90">
        <v>37</v>
      </c>
      <c r="I90">
        <v>3</v>
      </c>
      <c r="M90">
        <v>95</v>
      </c>
      <c r="N90" s="1">
        <v>25</v>
      </c>
      <c r="O90">
        <f t="shared" si="2"/>
        <v>25</v>
      </c>
      <c r="P90" t="str">
        <f t="shared" si="3"/>
        <v>With Affectionate</v>
      </c>
    </row>
    <row r="91" spans="1:16" x14ac:dyDescent="0.35">
      <c r="A91" t="s">
        <v>217</v>
      </c>
      <c r="C91" t="s">
        <v>33</v>
      </c>
      <c r="D91" t="s">
        <v>33</v>
      </c>
      <c r="E91">
        <v>25</v>
      </c>
      <c r="F91" t="s">
        <v>218</v>
      </c>
      <c r="G91">
        <v>900</v>
      </c>
      <c r="I91">
        <v>4</v>
      </c>
      <c r="N91" s="1">
        <v>96</v>
      </c>
      <c r="O91">
        <f t="shared" si="2"/>
        <v>96</v>
      </c>
      <c r="P91" t="str">
        <f t="shared" si="3"/>
        <v>Without Affectionate</v>
      </c>
    </row>
    <row r="92" spans="1:16" x14ac:dyDescent="0.35">
      <c r="A92" t="s">
        <v>219</v>
      </c>
      <c r="C92" t="s">
        <v>19</v>
      </c>
      <c r="D92" t="s">
        <v>49</v>
      </c>
      <c r="E92">
        <v>23</v>
      </c>
      <c r="F92" t="s">
        <v>220</v>
      </c>
      <c r="G92">
        <v>750</v>
      </c>
      <c r="H92">
        <v>13</v>
      </c>
      <c r="I92">
        <v>3</v>
      </c>
      <c r="M92">
        <v>27</v>
      </c>
      <c r="N92" s="1">
        <v>77</v>
      </c>
      <c r="O92">
        <f t="shared" si="2"/>
        <v>77</v>
      </c>
      <c r="P92" t="str">
        <f t="shared" si="3"/>
        <v>Without Affectionate</v>
      </c>
    </row>
    <row r="93" spans="1:16" x14ac:dyDescent="0.35">
      <c r="A93" t="s">
        <v>221</v>
      </c>
      <c r="B93" t="s">
        <v>222</v>
      </c>
      <c r="C93" t="s">
        <v>15</v>
      </c>
      <c r="D93" t="s">
        <v>16</v>
      </c>
      <c r="E93">
        <v>5</v>
      </c>
      <c r="F93" t="s">
        <v>223</v>
      </c>
      <c r="G93">
        <v>1400</v>
      </c>
      <c r="I93">
        <v>3</v>
      </c>
      <c r="M93">
        <v>134</v>
      </c>
      <c r="N93" s="1">
        <v>63</v>
      </c>
      <c r="O93">
        <f t="shared" si="2"/>
        <v>63</v>
      </c>
      <c r="P93" t="str">
        <f t="shared" si="3"/>
        <v>With Affectionate</v>
      </c>
    </row>
    <row r="94" spans="1:16" x14ac:dyDescent="0.35">
      <c r="A94" t="s">
        <v>224</v>
      </c>
      <c r="C94" t="s">
        <v>33</v>
      </c>
      <c r="D94" t="s">
        <v>30</v>
      </c>
      <c r="E94">
        <v>27</v>
      </c>
      <c r="F94" t="s">
        <v>225</v>
      </c>
      <c r="I94">
        <v>6</v>
      </c>
      <c r="M94">
        <v>152</v>
      </c>
      <c r="N94" s="1">
        <v>95</v>
      </c>
      <c r="O94">
        <f t="shared" si="2"/>
        <v>95</v>
      </c>
      <c r="P94" t="str">
        <f t="shared" si="3"/>
        <v>With Affectionate</v>
      </c>
    </row>
    <row r="95" spans="1:16" x14ac:dyDescent="0.35">
      <c r="A95" t="s">
        <v>226</v>
      </c>
      <c r="C95" t="s">
        <v>42</v>
      </c>
      <c r="D95" t="s">
        <v>37</v>
      </c>
      <c r="E95">
        <v>8</v>
      </c>
      <c r="F95" t="s">
        <v>43</v>
      </c>
      <c r="G95">
        <v>700</v>
      </c>
      <c r="I95">
        <v>4</v>
      </c>
      <c r="M95">
        <v>118</v>
      </c>
      <c r="N95" s="1">
        <v>103</v>
      </c>
      <c r="O95">
        <f t="shared" si="2"/>
        <v>103</v>
      </c>
      <c r="P95" t="str">
        <f t="shared" si="3"/>
        <v>Without Affectionate</v>
      </c>
    </row>
    <row r="96" spans="1:16" x14ac:dyDescent="0.35">
      <c r="A96" t="s">
        <v>227</v>
      </c>
      <c r="C96" t="s">
        <v>26</v>
      </c>
      <c r="D96" t="s">
        <v>26</v>
      </c>
      <c r="E96">
        <v>15</v>
      </c>
      <c r="F96" t="s">
        <v>228</v>
      </c>
      <c r="G96">
        <v>350</v>
      </c>
      <c r="I96">
        <v>4</v>
      </c>
      <c r="N96" s="1">
        <v>115</v>
      </c>
      <c r="O96">
        <f t="shared" si="2"/>
        <v>115</v>
      </c>
      <c r="P96" t="str">
        <f t="shared" si="3"/>
        <v>Without Affectionate</v>
      </c>
    </row>
    <row r="97" spans="1:16" x14ac:dyDescent="0.35">
      <c r="A97" t="s">
        <v>229</v>
      </c>
      <c r="C97" t="s">
        <v>19</v>
      </c>
      <c r="D97" t="s">
        <v>49</v>
      </c>
      <c r="E97">
        <v>19</v>
      </c>
      <c r="F97" t="s">
        <v>230</v>
      </c>
      <c r="G97">
        <v>900</v>
      </c>
      <c r="H97">
        <v>34</v>
      </c>
      <c r="I97">
        <v>3</v>
      </c>
      <c r="M97">
        <v>145</v>
      </c>
      <c r="N97" s="1">
        <v>79</v>
      </c>
      <c r="O97">
        <f t="shared" si="2"/>
        <v>79</v>
      </c>
      <c r="P97" t="str">
        <f t="shared" si="3"/>
        <v>Without Affectionate</v>
      </c>
    </row>
    <row r="98" spans="1:16" x14ac:dyDescent="0.35">
      <c r="A98" t="s">
        <v>231</v>
      </c>
      <c r="C98" t="s">
        <v>29</v>
      </c>
      <c r="D98" t="s">
        <v>30</v>
      </c>
      <c r="E98">
        <v>46</v>
      </c>
      <c r="F98" t="s">
        <v>232</v>
      </c>
      <c r="G98">
        <v>1150</v>
      </c>
      <c r="I98">
        <v>5</v>
      </c>
      <c r="K98">
        <v>1</v>
      </c>
      <c r="N98" s="1">
        <v>5</v>
      </c>
      <c r="O98">
        <f t="shared" si="2"/>
        <v>5</v>
      </c>
      <c r="P98" t="str">
        <f t="shared" si="3"/>
        <v>Without Affectionate</v>
      </c>
    </row>
    <row r="99" spans="1:16" x14ac:dyDescent="0.35">
      <c r="A99" t="s">
        <v>233</v>
      </c>
      <c r="C99" t="s">
        <v>33</v>
      </c>
      <c r="D99" t="s">
        <v>37</v>
      </c>
      <c r="E99">
        <v>18</v>
      </c>
      <c r="F99" t="s">
        <v>234</v>
      </c>
      <c r="G99">
        <v>700</v>
      </c>
      <c r="I99">
        <v>5</v>
      </c>
      <c r="M99">
        <v>173</v>
      </c>
      <c r="N99" s="1">
        <v>20</v>
      </c>
      <c r="O99">
        <f t="shared" si="2"/>
        <v>20</v>
      </c>
      <c r="P99" t="str">
        <f t="shared" si="3"/>
        <v>Without Affectionate</v>
      </c>
    </row>
    <row r="100" spans="1:16" x14ac:dyDescent="0.35">
      <c r="A100" t="s">
        <v>235</v>
      </c>
      <c r="C100" t="s">
        <v>42</v>
      </c>
      <c r="D100" t="s">
        <v>37</v>
      </c>
      <c r="E100">
        <v>15</v>
      </c>
      <c r="F100" t="s">
        <v>236</v>
      </c>
      <c r="G100">
        <v>600</v>
      </c>
      <c r="H100">
        <v>43</v>
      </c>
      <c r="I100">
        <v>3</v>
      </c>
      <c r="M100">
        <v>177</v>
      </c>
      <c r="N100" s="1">
        <v>15</v>
      </c>
      <c r="O100">
        <f t="shared" si="2"/>
        <v>15</v>
      </c>
      <c r="P100" t="str">
        <f t="shared" si="3"/>
        <v>Without Affectionate</v>
      </c>
    </row>
    <row r="101" spans="1:16" x14ac:dyDescent="0.35">
      <c r="A101" t="s">
        <v>237</v>
      </c>
      <c r="C101" t="s">
        <v>19</v>
      </c>
      <c r="D101" t="s">
        <v>49</v>
      </c>
      <c r="E101">
        <v>30</v>
      </c>
      <c r="F101" t="s">
        <v>238</v>
      </c>
      <c r="G101">
        <v>1100</v>
      </c>
      <c r="H101">
        <v>18</v>
      </c>
      <c r="I101">
        <v>5</v>
      </c>
      <c r="M101">
        <v>96</v>
      </c>
      <c r="N101" s="1">
        <v>5</v>
      </c>
      <c r="O101">
        <f t="shared" si="2"/>
        <v>5</v>
      </c>
      <c r="P101" t="str">
        <f t="shared" si="3"/>
        <v>Without Affectionate</v>
      </c>
    </row>
    <row r="102" spans="1:16" x14ac:dyDescent="0.35">
      <c r="A102" t="s">
        <v>239</v>
      </c>
      <c r="C102" t="s">
        <v>26</v>
      </c>
      <c r="D102" t="s">
        <v>26</v>
      </c>
      <c r="E102">
        <v>8</v>
      </c>
      <c r="F102" t="s">
        <v>240</v>
      </c>
      <c r="G102">
        <v>850</v>
      </c>
      <c r="H102">
        <v>40</v>
      </c>
      <c r="I102">
        <v>3</v>
      </c>
      <c r="M102">
        <v>122</v>
      </c>
      <c r="N102" s="1">
        <v>49</v>
      </c>
      <c r="O102">
        <f t="shared" si="2"/>
        <v>49</v>
      </c>
      <c r="P102" t="str">
        <f t="shared" si="3"/>
        <v>Without Affectionate</v>
      </c>
    </row>
    <row r="103" spans="1:16" x14ac:dyDescent="0.35">
      <c r="A103" t="s">
        <v>241</v>
      </c>
      <c r="C103" t="s">
        <v>66</v>
      </c>
      <c r="D103" t="s">
        <v>70</v>
      </c>
      <c r="E103">
        <v>32</v>
      </c>
      <c r="F103" t="s">
        <v>242</v>
      </c>
      <c r="G103">
        <v>500</v>
      </c>
      <c r="H103">
        <v>46</v>
      </c>
      <c r="I103">
        <v>2</v>
      </c>
      <c r="M103">
        <v>187</v>
      </c>
      <c r="N103" s="1">
        <v>4</v>
      </c>
      <c r="O103">
        <f t="shared" si="2"/>
        <v>4</v>
      </c>
      <c r="P103" t="str">
        <f t="shared" si="3"/>
        <v>With Affectionate</v>
      </c>
    </row>
    <row r="104" spans="1:16" x14ac:dyDescent="0.35">
      <c r="A104" t="s">
        <v>243</v>
      </c>
      <c r="C104" t="s">
        <v>42</v>
      </c>
      <c r="D104" t="s">
        <v>16</v>
      </c>
      <c r="E104">
        <v>12</v>
      </c>
      <c r="F104" t="s">
        <v>244</v>
      </c>
      <c r="G104">
        <v>3000</v>
      </c>
      <c r="H104">
        <v>58</v>
      </c>
      <c r="I104">
        <v>3</v>
      </c>
      <c r="M104">
        <v>4</v>
      </c>
      <c r="N104" s="1">
        <v>39</v>
      </c>
      <c r="O104">
        <f t="shared" si="2"/>
        <v>39</v>
      </c>
      <c r="P104" t="str">
        <f t="shared" si="3"/>
        <v>Without Affectionate</v>
      </c>
    </row>
    <row r="105" spans="1:16" x14ac:dyDescent="0.35">
      <c r="A105" t="s">
        <v>245</v>
      </c>
      <c r="C105" t="s">
        <v>66</v>
      </c>
      <c r="D105" t="s">
        <v>20</v>
      </c>
      <c r="E105">
        <v>25</v>
      </c>
      <c r="F105" t="s">
        <v>246</v>
      </c>
      <c r="G105">
        <v>700</v>
      </c>
      <c r="I105">
        <v>3</v>
      </c>
      <c r="N105" s="1">
        <v>77</v>
      </c>
      <c r="O105">
        <f t="shared" si="2"/>
        <v>77</v>
      </c>
      <c r="P105" t="str">
        <f t="shared" si="3"/>
        <v>With Affectionate</v>
      </c>
    </row>
    <row r="106" spans="1:16" x14ac:dyDescent="0.35">
      <c r="A106" t="s">
        <v>247</v>
      </c>
      <c r="C106" t="s">
        <v>29</v>
      </c>
      <c r="D106" t="s">
        <v>26</v>
      </c>
      <c r="E106">
        <v>14</v>
      </c>
      <c r="F106" t="s">
        <v>248</v>
      </c>
      <c r="G106">
        <v>1500</v>
      </c>
      <c r="I106">
        <v>6</v>
      </c>
      <c r="J106">
        <v>1</v>
      </c>
      <c r="M106">
        <v>136</v>
      </c>
      <c r="N106" s="1">
        <v>32</v>
      </c>
      <c r="O106">
        <f t="shared" si="2"/>
        <v>32</v>
      </c>
      <c r="P106" t="str">
        <f t="shared" si="3"/>
        <v>With Affectionate</v>
      </c>
    </row>
    <row r="107" spans="1:16" x14ac:dyDescent="0.35">
      <c r="A107" t="s">
        <v>249</v>
      </c>
      <c r="B107" t="s">
        <v>250</v>
      </c>
      <c r="C107" t="s">
        <v>33</v>
      </c>
      <c r="D107" t="s">
        <v>33</v>
      </c>
      <c r="E107">
        <v>35</v>
      </c>
      <c r="F107" t="s">
        <v>251</v>
      </c>
      <c r="G107">
        <v>1400</v>
      </c>
      <c r="H107">
        <v>3</v>
      </c>
      <c r="I107">
        <v>6</v>
      </c>
      <c r="J107">
        <v>1</v>
      </c>
      <c r="L107">
        <v>8</v>
      </c>
      <c r="M107">
        <v>2</v>
      </c>
      <c r="N107" s="1">
        <v>125</v>
      </c>
      <c r="O107">
        <f t="shared" si="2"/>
        <v>125</v>
      </c>
      <c r="P107" t="str">
        <f t="shared" si="3"/>
        <v>Without Affectionate</v>
      </c>
    </row>
    <row r="108" spans="1:16" x14ac:dyDescent="0.35">
      <c r="A108" t="s">
        <v>252</v>
      </c>
      <c r="B108" t="s">
        <v>253</v>
      </c>
      <c r="C108" t="s">
        <v>29</v>
      </c>
      <c r="D108" t="s">
        <v>49</v>
      </c>
      <c r="E108">
        <v>29</v>
      </c>
      <c r="F108" t="s">
        <v>254</v>
      </c>
      <c r="G108">
        <v>700</v>
      </c>
      <c r="H108">
        <v>17</v>
      </c>
      <c r="I108">
        <v>3</v>
      </c>
      <c r="M108">
        <v>10</v>
      </c>
      <c r="N108" s="1">
        <v>110</v>
      </c>
      <c r="O108">
        <f t="shared" si="2"/>
        <v>110</v>
      </c>
      <c r="P108" t="str">
        <f t="shared" si="3"/>
        <v>Without Affectionate</v>
      </c>
    </row>
    <row r="109" spans="1:16" x14ac:dyDescent="0.35">
      <c r="A109" t="s">
        <v>255</v>
      </c>
      <c r="C109" t="s">
        <v>42</v>
      </c>
      <c r="D109" t="s">
        <v>37</v>
      </c>
      <c r="E109">
        <v>8</v>
      </c>
      <c r="F109" t="s">
        <v>43</v>
      </c>
      <c r="G109">
        <v>700</v>
      </c>
      <c r="I109">
        <v>4</v>
      </c>
      <c r="M109">
        <v>118</v>
      </c>
      <c r="N109" s="1">
        <v>55</v>
      </c>
      <c r="O109">
        <f t="shared" si="2"/>
        <v>55</v>
      </c>
      <c r="P109" t="str">
        <f t="shared" si="3"/>
        <v>With Affectionate</v>
      </c>
    </row>
    <row r="110" spans="1:16" x14ac:dyDescent="0.35">
      <c r="A110" t="s">
        <v>256</v>
      </c>
      <c r="C110" t="s">
        <v>19</v>
      </c>
      <c r="D110" t="s">
        <v>49</v>
      </c>
      <c r="E110">
        <v>30</v>
      </c>
      <c r="F110" t="s">
        <v>257</v>
      </c>
      <c r="G110">
        <v>800</v>
      </c>
      <c r="H110">
        <v>44</v>
      </c>
      <c r="I110">
        <v>6</v>
      </c>
      <c r="M110">
        <v>62</v>
      </c>
      <c r="N110" s="1">
        <v>59</v>
      </c>
      <c r="O110">
        <f t="shared" si="2"/>
        <v>59</v>
      </c>
      <c r="P110" t="str">
        <f t="shared" si="3"/>
        <v>Without Affectionate</v>
      </c>
    </row>
    <row r="111" spans="1:16" x14ac:dyDescent="0.35">
      <c r="A111" t="s">
        <v>258</v>
      </c>
      <c r="C111" t="s">
        <v>29</v>
      </c>
      <c r="D111" t="s">
        <v>16</v>
      </c>
      <c r="E111">
        <v>38</v>
      </c>
      <c r="F111" t="s">
        <v>259</v>
      </c>
      <c r="G111">
        <v>1250</v>
      </c>
      <c r="H111">
        <v>28</v>
      </c>
      <c r="I111">
        <v>6</v>
      </c>
      <c r="M111">
        <v>80</v>
      </c>
      <c r="N111" s="1">
        <v>83</v>
      </c>
      <c r="O111">
        <f t="shared" si="2"/>
        <v>61</v>
      </c>
      <c r="P111" t="str">
        <f t="shared" si="3"/>
        <v>With Affectionate</v>
      </c>
    </row>
    <row r="112" spans="1:16" x14ac:dyDescent="0.35">
      <c r="A112" t="s">
        <v>260</v>
      </c>
      <c r="C112" t="s">
        <v>26</v>
      </c>
      <c r="D112" t="s">
        <v>26</v>
      </c>
      <c r="E112">
        <v>16</v>
      </c>
      <c r="F112" t="s">
        <v>261</v>
      </c>
      <c r="G112">
        <v>900</v>
      </c>
      <c r="I112">
        <v>3</v>
      </c>
      <c r="M112">
        <v>158</v>
      </c>
      <c r="N112" s="1">
        <v>112</v>
      </c>
      <c r="O112">
        <f t="shared" si="2"/>
        <v>112</v>
      </c>
      <c r="P112" t="str">
        <f t="shared" si="3"/>
        <v>Without Affectionate</v>
      </c>
    </row>
    <row r="113" spans="1:16" x14ac:dyDescent="0.35">
      <c r="A113" t="s">
        <v>262</v>
      </c>
      <c r="C113" t="s">
        <v>19</v>
      </c>
      <c r="D113" t="s">
        <v>49</v>
      </c>
      <c r="E113">
        <v>32</v>
      </c>
      <c r="F113" t="s">
        <v>263</v>
      </c>
      <c r="G113">
        <v>1500</v>
      </c>
      <c r="H113">
        <v>4</v>
      </c>
      <c r="I113">
        <v>3</v>
      </c>
      <c r="L113">
        <v>6</v>
      </c>
      <c r="M113">
        <v>3</v>
      </c>
      <c r="N113" s="1">
        <v>150</v>
      </c>
      <c r="O113">
        <f t="shared" si="2"/>
        <v>150</v>
      </c>
      <c r="P113" t="str">
        <f t="shared" si="3"/>
        <v>Without Affectionate</v>
      </c>
    </row>
    <row r="114" spans="1:16" x14ac:dyDescent="0.35">
      <c r="A114" t="s">
        <v>264</v>
      </c>
      <c r="C114" t="s">
        <v>19</v>
      </c>
      <c r="D114" t="s">
        <v>49</v>
      </c>
      <c r="E114">
        <v>31</v>
      </c>
      <c r="F114" t="s">
        <v>265</v>
      </c>
      <c r="G114">
        <v>900</v>
      </c>
      <c r="H114">
        <v>34</v>
      </c>
      <c r="I114">
        <v>4</v>
      </c>
      <c r="M114">
        <v>104</v>
      </c>
      <c r="N114" s="1">
        <v>153</v>
      </c>
      <c r="O114">
        <f t="shared" si="2"/>
        <v>153</v>
      </c>
      <c r="P114" t="str">
        <f t="shared" si="3"/>
        <v>Without Affectionate</v>
      </c>
    </row>
    <row r="115" spans="1:16" x14ac:dyDescent="0.35">
      <c r="A115" t="s">
        <v>266</v>
      </c>
      <c r="C115" t="s">
        <v>29</v>
      </c>
      <c r="D115" t="s">
        <v>30</v>
      </c>
      <c r="E115">
        <v>77</v>
      </c>
      <c r="F115" t="s">
        <v>267</v>
      </c>
      <c r="G115">
        <v>1000</v>
      </c>
      <c r="H115">
        <v>48</v>
      </c>
      <c r="I115">
        <v>5</v>
      </c>
      <c r="M115">
        <v>14</v>
      </c>
      <c r="N115" s="1">
        <v>149</v>
      </c>
      <c r="O115">
        <f t="shared" si="2"/>
        <v>149</v>
      </c>
      <c r="P115" t="str">
        <f t="shared" si="3"/>
        <v>Without Affectionate</v>
      </c>
    </row>
    <row r="116" spans="1:16" x14ac:dyDescent="0.35">
      <c r="A116" t="s">
        <v>268</v>
      </c>
      <c r="C116" t="s">
        <v>29</v>
      </c>
      <c r="D116" t="s">
        <v>30</v>
      </c>
      <c r="E116">
        <v>45</v>
      </c>
      <c r="F116" t="s">
        <v>269</v>
      </c>
      <c r="G116">
        <v>800</v>
      </c>
      <c r="H116">
        <v>64</v>
      </c>
      <c r="I116">
        <v>6</v>
      </c>
      <c r="M116">
        <v>66</v>
      </c>
      <c r="N116" s="1">
        <v>121</v>
      </c>
      <c r="O116">
        <f t="shared" si="2"/>
        <v>121</v>
      </c>
      <c r="P116" t="str">
        <f t="shared" si="3"/>
        <v>Without Affectionate</v>
      </c>
    </row>
    <row r="117" spans="1:16" x14ac:dyDescent="0.35">
      <c r="A117" t="s">
        <v>270</v>
      </c>
      <c r="C117" t="s">
        <v>29</v>
      </c>
      <c r="D117" t="s">
        <v>30</v>
      </c>
      <c r="E117">
        <v>60</v>
      </c>
      <c r="F117" t="s">
        <v>271</v>
      </c>
      <c r="G117">
        <v>2250</v>
      </c>
      <c r="I117">
        <v>5</v>
      </c>
      <c r="M117">
        <v>75</v>
      </c>
      <c r="N117" s="1">
        <v>101</v>
      </c>
      <c r="O117">
        <f t="shared" si="2"/>
        <v>101</v>
      </c>
      <c r="P117" t="str">
        <f t="shared" si="3"/>
        <v>With Affectionate</v>
      </c>
    </row>
    <row r="118" spans="1:16" x14ac:dyDescent="0.35">
      <c r="A118" t="s">
        <v>272</v>
      </c>
      <c r="C118" t="s">
        <v>66</v>
      </c>
      <c r="D118" t="s">
        <v>20</v>
      </c>
      <c r="E118">
        <v>33</v>
      </c>
      <c r="F118" t="s">
        <v>273</v>
      </c>
      <c r="G118">
        <v>650</v>
      </c>
      <c r="H118">
        <v>46</v>
      </c>
      <c r="I118">
        <v>3</v>
      </c>
      <c r="M118">
        <v>156</v>
      </c>
      <c r="N118" s="1">
        <v>93</v>
      </c>
      <c r="O118">
        <f t="shared" si="2"/>
        <v>93</v>
      </c>
      <c r="P118" t="str">
        <f t="shared" si="3"/>
        <v>Without Affectionate</v>
      </c>
    </row>
    <row r="119" spans="1:16" x14ac:dyDescent="0.35">
      <c r="A119" t="s">
        <v>274</v>
      </c>
      <c r="C119" t="s">
        <v>66</v>
      </c>
      <c r="D119" t="s">
        <v>70</v>
      </c>
      <c r="E119">
        <v>22</v>
      </c>
      <c r="F119" t="s">
        <v>275</v>
      </c>
      <c r="G119">
        <v>350</v>
      </c>
      <c r="I119">
        <v>2</v>
      </c>
      <c r="M119">
        <v>183</v>
      </c>
      <c r="N119" s="1">
        <v>204</v>
      </c>
      <c r="O119">
        <f t="shared" si="2"/>
        <v>204</v>
      </c>
      <c r="P119" t="str">
        <f t="shared" si="3"/>
        <v>With Affectionate</v>
      </c>
    </row>
    <row r="120" spans="1:16" x14ac:dyDescent="0.35">
      <c r="A120" t="s">
        <v>276</v>
      </c>
      <c r="C120" t="s">
        <v>15</v>
      </c>
      <c r="D120" t="s">
        <v>16</v>
      </c>
      <c r="E120">
        <v>5</v>
      </c>
      <c r="F120" t="s">
        <v>277</v>
      </c>
      <c r="G120">
        <v>1050</v>
      </c>
      <c r="I120">
        <v>3</v>
      </c>
      <c r="M120">
        <v>23</v>
      </c>
      <c r="N120" s="1">
        <v>505</v>
      </c>
      <c r="O120">
        <f t="shared" si="2"/>
        <v>505</v>
      </c>
      <c r="P120" t="str">
        <f t="shared" si="3"/>
        <v>Without Affectionate</v>
      </c>
    </row>
    <row r="121" spans="1:16" x14ac:dyDescent="0.35">
      <c r="A121" t="s">
        <v>66</v>
      </c>
      <c r="C121" t="s">
        <v>66</v>
      </c>
      <c r="D121" t="s">
        <v>70</v>
      </c>
      <c r="E121">
        <v>32</v>
      </c>
      <c r="F121" t="s">
        <v>242</v>
      </c>
      <c r="G121">
        <v>500</v>
      </c>
      <c r="H121">
        <v>46</v>
      </c>
      <c r="I121">
        <v>2</v>
      </c>
      <c r="M121">
        <v>187</v>
      </c>
      <c r="N121" s="1">
        <v>396</v>
      </c>
      <c r="O121">
        <f t="shared" si="2"/>
        <v>396</v>
      </c>
      <c r="P121" t="str">
        <f t="shared" si="3"/>
        <v>With Affectionate</v>
      </c>
    </row>
    <row r="122" spans="1:16" x14ac:dyDescent="0.35">
      <c r="A122" t="s">
        <v>278</v>
      </c>
      <c r="C122" t="s">
        <v>29</v>
      </c>
      <c r="D122" t="s">
        <v>30</v>
      </c>
      <c r="E122">
        <v>38</v>
      </c>
      <c r="F122" t="s">
        <v>279</v>
      </c>
      <c r="G122">
        <v>1100</v>
      </c>
      <c r="I122">
        <v>6</v>
      </c>
      <c r="N122" s="1">
        <v>111</v>
      </c>
      <c r="O122">
        <f t="shared" si="2"/>
        <v>111</v>
      </c>
      <c r="P122" t="str">
        <f t="shared" si="3"/>
        <v>Without Affectionate</v>
      </c>
    </row>
    <row r="123" spans="1:16" x14ac:dyDescent="0.35">
      <c r="A123" t="s">
        <v>280</v>
      </c>
      <c r="C123" t="s">
        <v>29</v>
      </c>
      <c r="D123" t="s">
        <v>37</v>
      </c>
      <c r="E123">
        <v>24</v>
      </c>
      <c r="F123" t="s">
        <v>281</v>
      </c>
      <c r="G123">
        <v>950</v>
      </c>
      <c r="H123">
        <v>45</v>
      </c>
      <c r="I123">
        <v>1</v>
      </c>
      <c r="M123">
        <v>12</v>
      </c>
      <c r="N123" s="1">
        <v>14</v>
      </c>
      <c r="O123">
        <f t="shared" si="2"/>
        <v>14</v>
      </c>
      <c r="P123" t="str">
        <f t="shared" si="3"/>
        <v>Without Affectionate</v>
      </c>
    </row>
    <row r="124" spans="1:16" x14ac:dyDescent="0.35">
      <c r="A124" t="s">
        <v>282</v>
      </c>
      <c r="C124" t="s">
        <v>66</v>
      </c>
      <c r="D124" t="s">
        <v>20</v>
      </c>
      <c r="E124">
        <v>22</v>
      </c>
      <c r="F124" t="s">
        <v>283</v>
      </c>
      <c r="G124">
        <v>1000</v>
      </c>
      <c r="H124">
        <v>53</v>
      </c>
      <c r="I124">
        <v>3</v>
      </c>
      <c r="M124">
        <v>165</v>
      </c>
      <c r="N124" s="1">
        <v>20</v>
      </c>
      <c r="O124">
        <f t="shared" si="2"/>
        <v>20</v>
      </c>
      <c r="P124" t="str">
        <f t="shared" si="3"/>
        <v>Without Affectionate</v>
      </c>
    </row>
    <row r="125" spans="1:16" x14ac:dyDescent="0.35">
      <c r="A125" t="s">
        <v>284</v>
      </c>
      <c r="C125" t="s">
        <v>33</v>
      </c>
      <c r="D125" t="s">
        <v>33</v>
      </c>
      <c r="E125">
        <v>40</v>
      </c>
      <c r="F125" t="s">
        <v>285</v>
      </c>
      <c r="G125">
        <v>1500</v>
      </c>
      <c r="I125">
        <v>6</v>
      </c>
      <c r="N125" s="1">
        <v>25</v>
      </c>
      <c r="O125">
        <f t="shared" si="2"/>
        <v>25</v>
      </c>
      <c r="P125" t="str">
        <f t="shared" si="3"/>
        <v>Without Affectionate</v>
      </c>
    </row>
    <row r="126" spans="1:16" x14ac:dyDescent="0.35">
      <c r="A126" t="s">
        <v>286</v>
      </c>
      <c r="C126" t="s">
        <v>19</v>
      </c>
      <c r="D126" t="s">
        <v>49</v>
      </c>
      <c r="E126">
        <v>32</v>
      </c>
      <c r="F126" t="s">
        <v>287</v>
      </c>
      <c r="G126">
        <v>900</v>
      </c>
      <c r="H126">
        <v>35</v>
      </c>
      <c r="I126">
        <v>3</v>
      </c>
      <c r="M126">
        <v>72</v>
      </c>
      <c r="N126" s="1">
        <v>67</v>
      </c>
      <c r="O126">
        <f t="shared" si="2"/>
        <v>67</v>
      </c>
      <c r="P126" t="str">
        <f t="shared" si="3"/>
        <v>Without Affectionate</v>
      </c>
    </row>
    <row r="127" spans="1:16" x14ac:dyDescent="0.35">
      <c r="A127" t="s">
        <v>288</v>
      </c>
      <c r="C127" t="s">
        <v>26</v>
      </c>
      <c r="D127" t="s">
        <v>26</v>
      </c>
      <c r="E127">
        <v>12</v>
      </c>
      <c r="F127" t="s">
        <v>289</v>
      </c>
      <c r="G127">
        <v>700</v>
      </c>
      <c r="H127">
        <v>53</v>
      </c>
      <c r="I127">
        <v>5</v>
      </c>
      <c r="M127">
        <v>114</v>
      </c>
      <c r="N127" s="1">
        <v>77</v>
      </c>
      <c r="O127">
        <f t="shared" si="2"/>
        <v>77</v>
      </c>
      <c r="P127" t="str">
        <f t="shared" si="3"/>
        <v>With Affectionate</v>
      </c>
    </row>
    <row r="128" spans="1:16" x14ac:dyDescent="0.35">
      <c r="A128" t="s">
        <v>290</v>
      </c>
      <c r="C128" t="s">
        <v>19</v>
      </c>
      <c r="D128" t="s">
        <v>49</v>
      </c>
      <c r="E128">
        <v>25</v>
      </c>
      <c r="F128" t="s">
        <v>291</v>
      </c>
      <c r="G128">
        <v>900</v>
      </c>
      <c r="H128">
        <v>24</v>
      </c>
      <c r="I128">
        <v>4</v>
      </c>
      <c r="M128">
        <v>164</v>
      </c>
      <c r="N128" s="1">
        <v>74172</v>
      </c>
      <c r="O128">
        <f t="shared" si="2"/>
        <v>74172</v>
      </c>
      <c r="P128" t="str">
        <f t="shared" si="3"/>
        <v>Without Affectionate</v>
      </c>
    </row>
    <row r="129" spans="1:16" x14ac:dyDescent="0.35">
      <c r="A129" t="s">
        <v>292</v>
      </c>
      <c r="C129" t="s">
        <v>66</v>
      </c>
      <c r="D129" t="s">
        <v>70</v>
      </c>
      <c r="E129">
        <v>55</v>
      </c>
      <c r="F129" t="s">
        <v>293</v>
      </c>
      <c r="G129">
        <v>1900</v>
      </c>
      <c r="H129">
        <v>41</v>
      </c>
      <c r="I129">
        <v>3</v>
      </c>
      <c r="M129">
        <v>73</v>
      </c>
      <c r="N129" s="1">
        <v>254</v>
      </c>
      <c r="O129">
        <f t="shared" si="2"/>
        <v>254</v>
      </c>
      <c r="P129" t="str">
        <f t="shared" si="3"/>
        <v>Without Affectionate</v>
      </c>
    </row>
    <row r="130" spans="1:16" x14ac:dyDescent="0.35">
      <c r="A130" t="s">
        <v>294</v>
      </c>
      <c r="C130" t="s">
        <v>15</v>
      </c>
      <c r="D130" t="s">
        <v>16</v>
      </c>
      <c r="E130">
        <v>4</v>
      </c>
      <c r="F130" t="s">
        <v>295</v>
      </c>
      <c r="G130">
        <v>900</v>
      </c>
      <c r="H130">
        <v>60</v>
      </c>
      <c r="I130">
        <v>3</v>
      </c>
      <c r="M130">
        <v>74</v>
      </c>
      <c r="N130" s="1">
        <v>232</v>
      </c>
      <c r="O130">
        <f t="shared" si="2"/>
        <v>232</v>
      </c>
      <c r="P130" t="str">
        <f t="shared" si="3"/>
        <v>Without Affectionate</v>
      </c>
    </row>
    <row r="131" spans="1:16" x14ac:dyDescent="0.35">
      <c r="A131" t="s">
        <v>296</v>
      </c>
      <c r="C131" t="s">
        <v>19</v>
      </c>
      <c r="D131" t="s">
        <v>49</v>
      </c>
      <c r="E131">
        <v>33</v>
      </c>
      <c r="F131" t="s">
        <v>297</v>
      </c>
      <c r="G131">
        <v>1750</v>
      </c>
      <c r="I131">
        <v>3</v>
      </c>
      <c r="M131">
        <v>111</v>
      </c>
      <c r="N131" s="1">
        <v>597</v>
      </c>
      <c r="O131">
        <f t="shared" ref="O131:O194" si="4">AVERAGEIF($A:$A, A131, $N:$N)</f>
        <v>597</v>
      </c>
      <c r="P131" t="str">
        <f t="shared" ref="P131:P194" si="5">IF(ISNUMBER(SEARCH("Affectionate",F130)),"With Affectionate","Without Affectionate")</f>
        <v>With Affectionate</v>
      </c>
    </row>
    <row r="132" spans="1:16" x14ac:dyDescent="0.35">
      <c r="A132" t="s">
        <v>298</v>
      </c>
      <c r="C132" t="s">
        <v>26</v>
      </c>
      <c r="D132" t="s">
        <v>26</v>
      </c>
      <c r="E132">
        <v>7</v>
      </c>
      <c r="F132" t="s">
        <v>299</v>
      </c>
      <c r="G132">
        <v>850</v>
      </c>
      <c r="I132">
        <v>4</v>
      </c>
      <c r="M132">
        <v>78</v>
      </c>
      <c r="N132" s="1">
        <v>321</v>
      </c>
      <c r="O132">
        <f t="shared" si="4"/>
        <v>321</v>
      </c>
      <c r="P132" t="str">
        <f t="shared" si="5"/>
        <v>With Affectionate</v>
      </c>
    </row>
    <row r="133" spans="1:16" x14ac:dyDescent="0.35">
      <c r="A133" t="s">
        <v>300</v>
      </c>
      <c r="C133" t="s">
        <v>26</v>
      </c>
      <c r="D133" t="s">
        <v>26</v>
      </c>
      <c r="E133">
        <v>7</v>
      </c>
      <c r="F133" t="s">
        <v>301</v>
      </c>
      <c r="G133">
        <v>500</v>
      </c>
      <c r="I133">
        <v>3</v>
      </c>
      <c r="M133">
        <v>119</v>
      </c>
      <c r="N133" s="1">
        <v>10</v>
      </c>
      <c r="O133">
        <f t="shared" si="4"/>
        <v>10</v>
      </c>
      <c r="P133" t="str">
        <f t="shared" si="5"/>
        <v>Without Affectionate</v>
      </c>
    </row>
    <row r="134" spans="1:16" x14ac:dyDescent="0.35">
      <c r="A134" t="s">
        <v>302</v>
      </c>
      <c r="B134" t="s">
        <v>303</v>
      </c>
      <c r="C134" t="s">
        <v>15</v>
      </c>
      <c r="D134" t="s">
        <v>16</v>
      </c>
      <c r="E134">
        <v>5</v>
      </c>
      <c r="F134" t="s">
        <v>304</v>
      </c>
      <c r="G134">
        <v>400</v>
      </c>
      <c r="H134">
        <v>62</v>
      </c>
      <c r="I134">
        <v>3</v>
      </c>
      <c r="M134">
        <v>108</v>
      </c>
      <c r="N134" s="1">
        <v>28</v>
      </c>
      <c r="O134">
        <f t="shared" si="4"/>
        <v>28</v>
      </c>
      <c r="P134" t="str">
        <f t="shared" si="5"/>
        <v>Without Affectionate</v>
      </c>
    </row>
    <row r="135" spans="1:16" x14ac:dyDescent="0.35">
      <c r="A135" t="s">
        <v>305</v>
      </c>
      <c r="C135" t="s">
        <v>19</v>
      </c>
      <c r="D135" t="s">
        <v>37</v>
      </c>
      <c r="E135">
        <v>20</v>
      </c>
      <c r="F135" t="s">
        <v>306</v>
      </c>
      <c r="G135">
        <v>350</v>
      </c>
      <c r="I135">
        <v>4</v>
      </c>
      <c r="N135" s="1">
        <v>48</v>
      </c>
      <c r="O135">
        <f t="shared" si="4"/>
        <v>48</v>
      </c>
      <c r="P135" t="str">
        <f t="shared" si="5"/>
        <v>Without Affectionate</v>
      </c>
    </row>
    <row r="136" spans="1:16" x14ac:dyDescent="0.35">
      <c r="A136" t="s">
        <v>307</v>
      </c>
      <c r="C136" t="s">
        <v>42</v>
      </c>
      <c r="D136" t="s">
        <v>37</v>
      </c>
      <c r="E136">
        <v>18</v>
      </c>
      <c r="F136" t="s">
        <v>308</v>
      </c>
      <c r="G136">
        <v>3000</v>
      </c>
      <c r="I136">
        <v>5</v>
      </c>
      <c r="N136" s="1">
        <v>54</v>
      </c>
      <c r="O136">
        <f t="shared" si="4"/>
        <v>54</v>
      </c>
      <c r="P136" t="str">
        <f t="shared" si="5"/>
        <v>Without Affectionate</v>
      </c>
    </row>
    <row r="137" spans="1:16" x14ac:dyDescent="0.35">
      <c r="A137" t="s">
        <v>309</v>
      </c>
      <c r="C137" t="s">
        <v>19</v>
      </c>
      <c r="D137" t="s">
        <v>37</v>
      </c>
      <c r="E137">
        <v>22</v>
      </c>
      <c r="F137" t="s">
        <v>310</v>
      </c>
      <c r="G137">
        <v>1100</v>
      </c>
      <c r="I137">
        <v>4</v>
      </c>
      <c r="N137" s="1">
        <v>71</v>
      </c>
      <c r="O137">
        <f t="shared" si="4"/>
        <v>71</v>
      </c>
      <c r="P137" t="str">
        <f t="shared" si="5"/>
        <v>Without Affectionate</v>
      </c>
    </row>
    <row r="138" spans="1:16" x14ac:dyDescent="0.35">
      <c r="A138" t="s">
        <v>311</v>
      </c>
      <c r="C138" t="s">
        <v>42</v>
      </c>
      <c r="D138" t="s">
        <v>37</v>
      </c>
      <c r="E138">
        <v>18</v>
      </c>
      <c r="F138" t="s">
        <v>312</v>
      </c>
      <c r="G138">
        <v>900</v>
      </c>
      <c r="H138">
        <v>16</v>
      </c>
      <c r="I138">
        <v>4</v>
      </c>
      <c r="M138">
        <v>87</v>
      </c>
      <c r="N138" s="1">
        <v>95</v>
      </c>
      <c r="O138">
        <f t="shared" si="4"/>
        <v>95</v>
      </c>
      <c r="P138" t="str">
        <f t="shared" si="5"/>
        <v>Without Affectionate</v>
      </c>
    </row>
    <row r="139" spans="1:16" x14ac:dyDescent="0.35">
      <c r="A139" t="s">
        <v>313</v>
      </c>
      <c r="C139" t="s">
        <v>26</v>
      </c>
      <c r="D139" t="s">
        <v>26</v>
      </c>
      <c r="E139">
        <v>17</v>
      </c>
      <c r="F139" t="s">
        <v>314</v>
      </c>
      <c r="G139">
        <v>550</v>
      </c>
      <c r="H139">
        <v>35</v>
      </c>
      <c r="I139">
        <v>5</v>
      </c>
      <c r="M139">
        <v>129</v>
      </c>
      <c r="N139" s="1">
        <v>107</v>
      </c>
      <c r="O139">
        <f t="shared" si="4"/>
        <v>107</v>
      </c>
      <c r="P139" t="str">
        <f t="shared" si="5"/>
        <v>Without Affectionate</v>
      </c>
    </row>
    <row r="140" spans="1:16" x14ac:dyDescent="0.35">
      <c r="A140" t="s">
        <v>315</v>
      </c>
      <c r="C140" t="s">
        <v>19</v>
      </c>
      <c r="D140" t="s">
        <v>37</v>
      </c>
      <c r="E140">
        <v>20</v>
      </c>
      <c r="F140" t="s">
        <v>316</v>
      </c>
      <c r="G140">
        <v>400</v>
      </c>
      <c r="I140">
        <v>4</v>
      </c>
      <c r="N140" s="1">
        <v>220</v>
      </c>
      <c r="O140">
        <f t="shared" si="4"/>
        <v>220</v>
      </c>
      <c r="P140" t="str">
        <f t="shared" si="5"/>
        <v>With Affectionate</v>
      </c>
    </row>
    <row r="141" spans="1:16" x14ac:dyDescent="0.35">
      <c r="A141" t="s">
        <v>317</v>
      </c>
      <c r="C141" t="s">
        <v>42</v>
      </c>
      <c r="D141" t="s">
        <v>37</v>
      </c>
      <c r="E141">
        <v>7</v>
      </c>
      <c r="F141" t="s">
        <v>318</v>
      </c>
      <c r="G141">
        <v>1250</v>
      </c>
      <c r="I141">
        <v>5</v>
      </c>
      <c r="N141" s="1">
        <v>225</v>
      </c>
      <c r="O141">
        <f t="shared" si="4"/>
        <v>225</v>
      </c>
      <c r="P141" t="str">
        <f t="shared" si="5"/>
        <v>Without Affectionate</v>
      </c>
    </row>
    <row r="142" spans="1:16" x14ac:dyDescent="0.35">
      <c r="A142" t="s">
        <v>319</v>
      </c>
      <c r="C142" t="s">
        <v>29</v>
      </c>
      <c r="D142" t="s">
        <v>30</v>
      </c>
      <c r="E142">
        <v>59</v>
      </c>
      <c r="F142" t="s">
        <v>320</v>
      </c>
      <c r="G142">
        <v>1000</v>
      </c>
      <c r="I142">
        <v>6</v>
      </c>
      <c r="M142">
        <v>163</v>
      </c>
      <c r="N142" s="1">
        <v>309</v>
      </c>
      <c r="O142">
        <f t="shared" si="4"/>
        <v>309</v>
      </c>
      <c r="P142" t="str">
        <f t="shared" si="5"/>
        <v>Without Affectionate</v>
      </c>
    </row>
    <row r="143" spans="1:16" x14ac:dyDescent="0.35">
      <c r="A143" t="s">
        <v>321</v>
      </c>
      <c r="C143" t="s">
        <v>29</v>
      </c>
      <c r="D143" t="s">
        <v>30</v>
      </c>
      <c r="E143">
        <v>49</v>
      </c>
      <c r="F143" t="s">
        <v>322</v>
      </c>
      <c r="G143">
        <v>1350</v>
      </c>
      <c r="H143">
        <v>42</v>
      </c>
      <c r="I143">
        <v>6</v>
      </c>
      <c r="M143">
        <v>157</v>
      </c>
      <c r="N143" s="1">
        <v>457</v>
      </c>
      <c r="O143">
        <f t="shared" si="4"/>
        <v>457</v>
      </c>
      <c r="P143" t="str">
        <f t="shared" si="5"/>
        <v>With Affectionate</v>
      </c>
    </row>
    <row r="144" spans="1:16" x14ac:dyDescent="0.35">
      <c r="A144" t="s">
        <v>323</v>
      </c>
      <c r="C144" t="s">
        <v>42</v>
      </c>
      <c r="D144" t="s">
        <v>16</v>
      </c>
      <c r="E144">
        <v>5</v>
      </c>
      <c r="F144" t="s">
        <v>324</v>
      </c>
      <c r="G144">
        <v>700</v>
      </c>
      <c r="I144">
        <v>3</v>
      </c>
      <c r="N144" s="1">
        <v>689</v>
      </c>
      <c r="O144">
        <f t="shared" si="4"/>
        <v>689</v>
      </c>
      <c r="P144" t="str">
        <f t="shared" si="5"/>
        <v>Without Affectionate</v>
      </c>
    </row>
    <row r="145" spans="1:16" x14ac:dyDescent="0.35">
      <c r="A145" t="s">
        <v>325</v>
      </c>
      <c r="C145" t="s">
        <v>19</v>
      </c>
      <c r="D145" t="s">
        <v>49</v>
      </c>
      <c r="E145">
        <v>32</v>
      </c>
      <c r="F145" t="s">
        <v>97</v>
      </c>
      <c r="G145">
        <v>1500</v>
      </c>
      <c r="H145">
        <v>7</v>
      </c>
      <c r="I145">
        <v>3</v>
      </c>
      <c r="M145">
        <v>1</v>
      </c>
      <c r="N145" s="1">
        <v>351</v>
      </c>
      <c r="O145">
        <f t="shared" si="4"/>
        <v>351</v>
      </c>
      <c r="P145" t="str">
        <f t="shared" si="5"/>
        <v>Without Affectionate</v>
      </c>
    </row>
    <row r="146" spans="1:16" x14ac:dyDescent="0.35">
      <c r="A146" t="s">
        <v>326</v>
      </c>
      <c r="C146" t="s">
        <v>26</v>
      </c>
      <c r="D146" t="s">
        <v>26</v>
      </c>
      <c r="E146">
        <v>8</v>
      </c>
      <c r="F146" t="s">
        <v>327</v>
      </c>
      <c r="G146">
        <v>1500</v>
      </c>
      <c r="H146">
        <v>62</v>
      </c>
      <c r="I146">
        <v>3</v>
      </c>
      <c r="M146">
        <v>138</v>
      </c>
      <c r="N146" s="1">
        <v>32</v>
      </c>
      <c r="O146">
        <f t="shared" si="4"/>
        <v>32</v>
      </c>
      <c r="P146" t="str">
        <f t="shared" si="5"/>
        <v>With Affectionate</v>
      </c>
    </row>
    <row r="147" spans="1:16" x14ac:dyDescent="0.35">
      <c r="A147" t="s">
        <v>328</v>
      </c>
      <c r="C147" t="s">
        <v>33</v>
      </c>
      <c r="D147" t="s">
        <v>33</v>
      </c>
      <c r="E147">
        <v>5</v>
      </c>
      <c r="F147" t="s">
        <v>329</v>
      </c>
      <c r="G147">
        <v>700</v>
      </c>
      <c r="I147">
        <v>3</v>
      </c>
      <c r="N147" s="1">
        <v>75</v>
      </c>
      <c r="O147">
        <f t="shared" si="4"/>
        <v>75</v>
      </c>
      <c r="P147" t="str">
        <f t="shared" si="5"/>
        <v>Without Affectionate</v>
      </c>
    </row>
    <row r="148" spans="1:16" x14ac:dyDescent="0.35">
      <c r="A148" t="s">
        <v>330</v>
      </c>
      <c r="C148" t="s">
        <v>29</v>
      </c>
      <c r="D148" t="s">
        <v>30</v>
      </c>
      <c r="E148">
        <v>64</v>
      </c>
      <c r="F148" t="s">
        <v>331</v>
      </c>
      <c r="G148">
        <v>1750</v>
      </c>
      <c r="I148">
        <v>5</v>
      </c>
      <c r="M148">
        <v>100</v>
      </c>
      <c r="N148" s="1">
        <v>33</v>
      </c>
      <c r="O148">
        <f t="shared" si="4"/>
        <v>33</v>
      </c>
      <c r="P148" t="str">
        <f t="shared" si="5"/>
        <v>Without Affectionate</v>
      </c>
    </row>
    <row r="149" spans="1:16" x14ac:dyDescent="0.35">
      <c r="A149" t="s">
        <v>332</v>
      </c>
      <c r="C149" t="s">
        <v>42</v>
      </c>
      <c r="D149" t="s">
        <v>16</v>
      </c>
      <c r="E149">
        <v>6</v>
      </c>
      <c r="F149" t="s">
        <v>333</v>
      </c>
      <c r="G149">
        <v>600</v>
      </c>
      <c r="H149">
        <v>68</v>
      </c>
      <c r="I149">
        <v>3</v>
      </c>
      <c r="M149">
        <v>77</v>
      </c>
      <c r="N149" s="1">
        <v>5</v>
      </c>
      <c r="O149">
        <f t="shared" si="4"/>
        <v>5</v>
      </c>
      <c r="P149" t="str">
        <f t="shared" si="5"/>
        <v>Without Affectionate</v>
      </c>
    </row>
    <row r="150" spans="1:16" x14ac:dyDescent="0.35">
      <c r="A150" t="s">
        <v>334</v>
      </c>
      <c r="C150" t="s">
        <v>42</v>
      </c>
      <c r="D150" t="s">
        <v>16</v>
      </c>
      <c r="E150">
        <v>6</v>
      </c>
      <c r="F150" t="s">
        <v>335</v>
      </c>
      <c r="G150">
        <v>400</v>
      </c>
      <c r="I150">
        <v>3</v>
      </c>
      <c r="M150">
        <v>169</v>
      </c>
      <c r="N150" s="1">
        <v>125</v>
      </c>
      <c r="O150">
        <f t="shared" si="4"/>
        <v>125</v>
      </c>
      <c r="P150" t="str">
        <f t="shared" si="5"/>
        <v>Without Affectionate</v>
      </c>
    </row>
    <row r="151" spans="1:16" x14ac:dyDescent="0.35">
      <c r="A151" t="s">
        <v>336</v>
      </c>
      <c r="B151" t="s">
        <v>337</v>
      </c>
      <c r="C151" t="s">
        <v>15</v>
      </c>
      <c r="D151" t="s">
        <v>16</v>
      </c>
      <c r="E151">
        <v>4</v>
      </c>
      <c r="F151" t="s">
        <v>338</v>
      </c>
      <c r="G151">
        <v>700</v>
      </c>
      <c r="H151">
        <v>59</v>
      </c>
      <c r="I151">
        <v>3</v>
      </c>
      <c r="M151">
        <v>33</v>
      </c>
      <c r="N151" s="1">
        <v>79</v>
      </c>
      <c r="O151">
        <f t="shared" si="4"/>
        <v>79</v>
      </c>
      <c r="P151" t="str">
        <f t="shared" si="5"/>
        <v>Without Affectionate</v>
      </c>
    </row>
    <row r="152" spans="1:16" x14ac:dyDescent="0.35">
      <c r="A152" t="s">
        <v>339</v>
      </c>
      <c r="C152" t="s">
        <v>26</v>
      </c>
      <c r="D152" t="s">
        <v>26</v>
      </c>
      <c r="E152">
        <v>6</v>
      </c>
      <c r="F152" t="s">
        <v>340</v>
      </c>
      <c r="G152">
        <v>800</v>
      </c>
      <c r="H152">
        <v>32</v>
      </c>
      <c r="I152">
        <v>3</v>
      </c>
      <c r="M152">
        <v>135</v>
      </c>
      <c r="N152" s="1">
        <v>16</v>
      </c>
      <c r="O152">
        <f t="shared" si="4"/>
        <v>16</v>
      </c>
      <c r="P152" t="str">
        <f t="shared" si="5"/>
        <v>Without Affectionate</v>
      </c>
    </row>
    <row r="153" spans="1:16" x14ac:dyDescent="0.35">
      <c r="A153" t="s">
        <v>341</v>
      </c>
      <c r="C153" t="s">
        <v>29</v>
      </c>
      <c r="D153" t="s">
        <v>30</v>
      </c>
      <c r="E153">
        <v>38</v>
      </c>
      <c r="F153" t="s">
        <v>342</v>
      </c>
      <c r="G153">
        <v>700</v>
      </c>
      <c r="I153">
        <v>4</v>
      </c>
      <c r="N153" s="1">
        <v>33</v>
      </c>
      <c r="O153">
        <f t="shared" si="4"/>
        <v>33</v>
      </c>
      <c r="P153" t="str">
        <f t="shared" si="5"/>
        <v>Without Affectionate</v>
      </c>
    </row>
    <row r="154" spans="1:16" x14ac:dyDescent="0.35">
      <c r="A154" t="s">
        <v>343</v>
      </c>
      <c r="C154" t="s">
        <v>29</v>
      </c>
      <c r="D154" t="s">
        <v>30</v>
      </c>
      <c r="E154">
        <v>90</v>
      </c>
      <c r="F154" t="s">
        <v>344</v>
      </c>
      <c r="G154">
        <v>1350</v>
      </c>
      <c r="H154">
        <v>72</v>
      </c>
      <c r="I154">
        <v>6</v>
      </c>
      <c r="M154">
        <v>28</v>
      </c>
      <c r="N154" s="1">
        <v>71</v>
      </c>
      <c r="O154">
        <f t="shared" si="4"/>
        <v>71</v>
      </c>
      <c r="P154" t="str">
        <f t="shared" si="5"/>
        <v>Without Affectionate</v>
      </c>
    </row>
    <row r="155" spans="1:16" x14ac:dyDescent="0.35">
      <c r="A155" t="s">
        <v>345</v>
      </c>
      <c r="C155" t="s">
        <v>33</v>
      </c>
      <c r="D155" t="s">
        <v>33</v>
      </c>
      <c r="E155">
        <v>23</v>
      </c>
      <c r="F155" t="s">
        <v>346</v>
      </c>
      <c r="G155">
        <v>400</v>
      </c>
      <c r="I155">
        <v>3</v>
      </c>
      <c r="N155" s="1">
        <v>96</v>
      </c>
      <c r="O155">
        <f t="shared" si="4"/>
        <v>96</v>
      </c>
      <c r="P155" t="str">
        <f t="shared" si="5"/>
        <v>With Affectionate</v>
      </c>
    </row>
    <row r="156" spans="1:16" x14ac:dyDescent="0.35">
      <c r="A156" t="s">
        <v>347</v>
      </c>
      <c r="C156" t="s">
        <v>15</v>
      </c>
      <c r="D156" t="s">
        <v>16</v>
      </c>
      <c r="E156">
        <v>5</v>
      </c>
      <c r="F156" t="s">
        <v>348</v>
      </c>
      <c r="G156">
        <v>500</v>
      </c>
      <c r="H156">
        <v>37</v>
      </c>
      <c r="I156">
        <v>3</v>
      </c>
      <c r="M156">
        <v>71</v>
      </c>
      <c r="N156" s="1">
        <v>80</v>
      </c>
      <c r="O156">
        <f t="shared" si="4"/>
        <v>80</v>
      </c>
      <c r="P156" t="str">
        <f t="shared" si="5"/>
        <v>Without Affectionate</v>
      </c>
    </row>
    <row r="157" spans="1:16" x14ac:dyDescent="0.35">
      <c r="A157" t="s">
        <v>349</v>
      </c>
      <c r="C157" t="s">
        <v>29</v>
      </c>
      <c r="D157" t="s">
        <v>70</v>
      </c>
      <c r="E157">
        <v>20</v>
      </c>
      <c r="F157" t="s">
        <v>350</v>
      </c>
      <c r="G157">
        <v>400</v>
      </c>
      <c r="I157">
        <v>6</v>
      </c>
      <c r="N157" s="1">
        <v>134</v>
      </c>
      <c r="O157">
        <f t="shared" si="4"/>
        <v>134</v>
      </c>
      <c r="P157" t="str">
        <f t="shared" si="5"/>
        <v>Without Affectionate</v>
      </c>
    </row>
    <row r="158" spans="1:16" x14ac:dyDescent="0.35">
      <c r="A158" t="s">
        <v>351</v>
      </c>
      <c r="C158" t="s">
        <v>29</v>
      </c>
      <c r="D158" t="s">
        <v>30</v>
      </c>
      <c r="E158">
        <v>44</v>
      </c>
      <c r="F158" t="s">
        <v>91</v>
      </c>
      <c r="G158">
        <v>900</v>
      </c>
      <c r="H158">
        <v>22</v>
      </c>
      <c r="I158">
        <v>5</v>
      </c>
      <c r="M158">
        <v>25</v>
      </c>
      <c r="N158" s="1">
        <v>75</v>
      </c>
      <c r="O158">
        <f t="shared" si="4"/>
        <v>75</v>
      </c>
      <c r="P158" t="str">
        <f t="shared" si="5"/>
        <v>Without Affectionate</v>
      </c>
    </row>
    <row r="159" spans="1:16" x14ac:dyDescent="0.35">
      <c r="A159" t="s">
        <v>352</v>
      </c>
      <c r="C159" t="s">
        <v>19</v>
      </c>
      <c r="D159" t="s">
        <v>49</v>
      </c>
      <c r="E159">
        <v>20</v>
      </c>
      <c r="F159" t="s">
        <v>353</v>
      </c>
      <c r="G159">
        <v>1500</v>
      </c>
      <c r="I159">
        <v>3</v>
      </c>
      <c r="N159" s="1">
        <v>325</v>
      </c>
      <c r="O159">
        <f t="shared" si="4"/>
        <v>325</v>
      </c>
      <c r="P159" t="str">
        <f t="shared" si="5"/>
        <v>With Affectionate</v>
      </c>
    </row>
    <row r="160" spans="1:16" x14ac:dyDescent="0.35">
      <c r="A160" t="s">
        <v>354</v>
      </c>
      <c r="C160" t="s">
        <v>29</v>
      </c>
      <c r="D160" t="s">
        <v>30</v>
      </c>
      <c r="E160">
        <v>60</v>
      </c>
      <c r="F160" t="s">
        <v>355</v>
      </c>
      <c r="G160">
        <v>1750</v>
      </c>
      <c r="I160">
        <v>6</v>
      </c>
      <c r="K160">
        <v>1</v>
      </c>
      <c r="M160">
        <v>107</v>
      </c>
      <c r="N160" s="1">
        <v>74</v>
      </c>
      <c r="O160">
        <f t="shared" si="4"/>
        <v>74</v>
      </c>
      <c r="P160" t="str">
        <f t="shared" si="5"/>
        <v>Without Affectionate</v>
      </c>
    </row>
    <row r="161" spans="1:16" x14ac:dyDescent="0.35">
      <c r="A161" t="s">
        <v>356</v>
      </c>
      <c r="C161" t="s">
        <v>357</v>
      </c>
      <c r="D161" t="s">
        <v>357</v>
      </c>
      <c r="E161">
        <v>11</v>
      </c>
      <c r="F161" t="s">
        <v>358</v>
      </c>
      <c r="G161">
        <v>3000</v>
      </c>
      <c r="I161">
        <v>3</v>
      </c>
      <c r="N161" s="1">
        <v>45</v>
      </c>
      <c r="O161">
        <f t="shared" si="4"/>
        <v>45</v>
      </c>
      <c r="P161" t="str">
        <f t="shared" si="5"/>
        <v>Without Affectionate</v>
      </c>
    </row>
    <row r="162" spans="1:16" x14ac:dyDescent="0.35">
      <c r="A162" t="s">
        <v>359</v>
      </c>
      <c r="B162" t="s">
        <v>360</v>
      </c>
      <c r="C162" t="s">
        <v>29</v>
      </c>
      <c r="D162" t="s">
        <v>30</v>
      </c>
      <c r="E162">
        <v>65</v>
      </c>
      <c r="F162" t="s">
        <v>361</v>
      </c>
      <c r="G162">
        <v>1750</v>
      </c>
      <c r="H162">
        <v>34</v>
      </c>
      <c r="I162">
        <v>5</v>
      </c>
      <c r="M162">
        <v>36</v>
      </c>
      <c r="N162" s="1">
        <v>22</v>
      </c>
      <c r="O162">
        <f t="shared" si="4"/>
        <v>22</v>
      </c>
      <c r="P162" t="str">
        <f t="shared" si="5"/>
        <v>With Affectionate</v>
      </c>
    </row>
    <row r="163" spans="1:16" x14ac:dyDescent="0.35">
      <c r="A163" t="s">
        <v>362</v>
      </c>
      <c r="C163" t="s">
        <v>26</v>
      </c>
      <c r="D163" t="s">
        <v>26</v>
      </c>
      <c r="E163">
        <v>5</v>
      </c>
      <c r="F163" t="s">
        <v>363</v>
      </c>
      <c r="G163">
        <v>2250</v>
      </c>
      <c r="H163">
        <v>56</v>
      </c>
      <c r="I163">
        <v>3</v>
      </c>
      <c r="M163">
        <v>128</v>
      </c>
      <c r="N163" s="1">
        <v>14</v>
      </c>
      <c r="O163">
        <f t="shared" si="4"/>
        <v>14</v>
      </c>
      <c r="P163" t="str">
        <f t="shared" si="5"/>
        <v>Without Affectionate</v>
      </c>
    </row>
    <row r="164" spans="1:16" x14ac:dyDescent="0.35">
      <c r="A164" t="s">
        <v>364</v>
      </c>
      <c r="C164" t="s">
        <v>33</v>
      </c>
      <c r="D164" t="s">
        <v>37</v>
      </c>
      <c r="E164">
        <v>16</v>
      </c>
      <c r="F164" t="s">
        <v>365</v>
      </c>
      <c r="G164">
        <v>900</v>
      </c>
      <c r="I164">
        <v>4</v>
      </c>
      <c r="M164">
        <v>170</v>
      </c>
      <c r="N164" s="1">
        <v>12</v>
      </c>
      <c r="O164">
        <f t="shared" si="4"/>
        <v>12</v>
      </c>
      <c r="P164" t="str">
        <f t="shared" si="5"/>
        <v>Without Affectionate</v>
      </c>
    </row>
    <row r="165" spans="1:16" x14ac:dyDescent="0.35">
      <c r="A165" t="s">
        <v>366</v>
      </c>
      <c r="C165" t="s">
        <v>66</v>
      </c>
      <c r="D165" t="s">
        <v>37</v>
      </c>
      <c r="E165">
        <v>26</v>
      </c>
      <c r="F165" t="s">
        <v>367</v>
      </c>
      <c r="G165">
        <v>600</v>
      </c>
      <c r="H165">
        <v>36</v>
      </c>
      <c r="I165">
        <v>6</v>
      </c>
      <c r="M165">
        <v>91</v>
      </c>
      <c r="N165" s="1">
        <v>110</v>
      </c>
      <c r="O165">
        <f t="shared" si="4"/>
        <v>110</v>
      </c>
      <c r="P165" t="str">
        <f t="shared" si="5"/>
        <v>Without Affectionate</v>
      </c>
    </row>
    <row r="166" spans="1:16" x14ac:dyDescent="0.35">
      <c r="A166" t="s">
        <v>368</v>
      </c>
      <c r="C166" t="s">
        <v>42</v>
      </c>
      <c r="D166" t="s">
        <v>37</v>
      </c>
      <c r="E166">
        <v>8</v>
      </c>
      <c r="F166" t="s">
        <v>369</v>
      </c>
      <c r="G166">
        <v>500</v>
      </c>
      <c r="I166">
        <v>4</v>
      </c>
      <c r="M166">
        <v>190</v>
      </c>
      <c r="N166" s="1">
        <v>153</v>
      </c>
      <c r="O166">
        <f t="shared" si="4"/>
        <v>153</v>
      </c>
      <c r="P166" t="str">
        <f t="shared" si="5"/>
        <v>Without Affectionate</v>
      </c>
    </row>
    <row r="167" spans="1:16" x14ac:dyDescent="0.35">
      <c r="A167" t="s">
        <v>370</v>
      </c>
      <c r="C167" t="s">
        <v>26</v>
      </c>
      <c r="D167" t="s">
        <v>26</v>
      </c>
      <c r="E167">
        <v>5</v>
      </c>
      <c r="F167" t="s">
        <v>371</v>
      </c>
      <c r="G167">
        <v>1700</v>
      </c>
      <c r="H167">
        <v>38</v>
      </c>
      <c r="I167">
        <v>3</v>
      </c>
      <c r="M167">
        <v>105</v>
      </c>
      <c r="N167" s="1">
        <v>89</v>
      </c>
      <c r="O167">
        <f t="shared" si="4"/>
        <v>89</v>
      </c>
      <c r="P167" t="str">
        <f t="shared" si="5"/>
        <v>Without Affectionate</v>
      </c>
    </row>
    <row r="168" spans="1:16" x14ac:dyDescent="0.35">
      <c r="A168" t="s">
        <v>372</v>
      </c>
      <c r="C168" t="s">
        <v>19</v>
      </c>
      <c r="D168" t="s">
        <v>373</v>
      </c>
      <c r="E168">
        <v>20</v>
      </c>
      <c r="F168" t="s">
        <v>374</v>
      </c>
      <c r="G168">
        <v>1900</v>
      </c>
      <c r="I168">
        <v>5</v>
      </c>
      <c r="M168">
        <v>89</v>
      </c>
      <c r="N168" s="1">
        <v>76</v>
      </c>
      <c r="O168">
        <f t="shared" si="4"/>
        <v>76</v>
      </c>
      <c r="P168" t="str">
        <f t="shared" si="5"/>
        <v>With Affectionate</v>
      </c>
    </row>
    <row r="169" spans="1:16" x14ac:dyDescent="0.35">
      <c r="A169" t="s">
        <v>375</v>
      </c>
      <c r="C169" t="s">
        <v>33</v>
      </c>
      <c r="D169" t="s">
        <v>33</v>
      </c>
      <c r="E169">
        <v>39</v>
      </c>
      <c r="F169" t="s">
        <v>376</v>
      </c>
      <c r="G169">
        <v>1350</v>
      </c>
      <c r="H169">
        <v>63</v>
      </c>
      <c r="I169">
        <v>4</v>
      </c>
      <c r="M169">
        <v>70</v>
      </c>
      <c r="N169" s="1">
        <v>53</v>
      </c>
      <c r="O169">
        <f t="shared" si="4"/>
        <v>53</v>
      </c>
      <c r="P169" t="str">
        <f t="shared" si="5"/>
        <v>With Affectionate</v>
      </c>
    </row>
    <row r="170" spans="1:16" x14ac:dyDescent="0.35">
      <c r="A170" t="s">
        <v>377</v>
      </c>
      <c r="C170" t="s">
        <v>66</v>
      </c>
      <c r="D170" t="s">
        <v>70</v>
      </c>
      <c r="E170">
        <v>41</v>
      </c>
      <c r="F170" t="s">
        <v>378</v>
      </c>
      <c r="G170">
        <v>550</v>
      </c>
      <c r="H170">
        <v>46</v>
      </c>
      <c r="I170">
        <v>2</v>
      </c>
      <c r="M170">
        <v>186</v>
      </c>
      <c r="N170" s="1">
        <v>49</v>
      </c>
      <c r="O170">
        <f t="shared" si="4"/>
        <v>49</v>
      </c>
      <c r="P170" t="str">
        <f t="shared" si="5"/>
        <v>Without Affectionate</v>
      </c>
    </row>
    <row r="171" spans="1:16" x14ac:dyDescent="0.35">
      <c r="A171" t="s">
        <v>379</v>
      </c>
      <c r="C171" t="s">
        <v>15</v>
      </c>
      <c r="D171" t="s">
        <v>16</v>
      </c>
      <c r="E171">
        <v>5</v>
      </c>
      <c r="F171" t="s">
        <v>380</v>
      </c>
      <c r="G171">
        <v>500</v>
      </c>
      <c r="H171">
        <v>8</v>
      </c>
      <c r="I171">
        <v>3</v>
      </c>
      <c r="M171">
        <v>53</v>
      </c>
      <c r="N171" s="1">
        <v>22</v>
      </c>
      <c r="O171">
        <f t="shared" si="4"/>
        <v>22</v>
      </c>
      <c r="P171" t="str">
        <f t="shared" si="5"/>
        <v>Without Affectionate</v>
      </c>
    </row>
    <row r="172" spans="1:16" x14ac:dyDescent="0.35">
      <c r="A172" t="s">
        <v>381</v>
      </c>
      <c r="C172" t="s">
        <v>26</v>
      </c>
      <c r="D172" t="s">
        <v>26</v>
      </c>
      <c r="E172">
        <v>6</v>
      </c>
      <c r="F172" t="s">
        <v>382</v>
      </c>
      <c r="G172">
        <v>600</v>
      </c>
      <c r="I172">
        <v>3</v>
      </c>
      <c r="N172" s="1">
        <v>27</v>
      </c>
      <c r="O172">
        <f t="shared" si="4"/>
        <v>27</v>
      </c>
      <c r="P172" t="str">
        <f t="shared" si="5"/>
        <v>Without Affectionate</v>
      </c>
    </row>
    <row r="173" spans="1:16" x14ac:dyDescent="0.35">
      <c r="A173" t="s">
        <v>383</v>
      </c>
      <c r="C173" t="s">
        <v>15</v>
      </c>
      <c r="D173" t="s">
        <v>16</v>
      </c>
      <c r="E173">
        <v>4</v>
      </c>
      <c r="F173" t="s">
        <v>384</v>
      </c>
      <c r="G173">
        <v>700</v>
      </c>
      <c r="H173">
        <v>73</v>
      </c>
      <c r="I173">
        <v>3</v>
      </c>
      <c r="M173">
        <v>88</v>
      </c>
      <c r="N173" s="1">
        <v>26</v>
      </c>
      <c r="O173">
        <f t="shared" si="4"/>
        <v>26</v>
      </c>
      <c r="P173" t="str">
        <f t="shared" si="5"/>
        <v>Without Affectionate</v>
      </c>
    </row>
    <row r="174" spans="1:16" x14ac:dyDescent="0.35">
      <c r="A174" t="s">
        <v>385</v>
      </c>
      <c r="C174" t="s">
        <v>66</v>
      </c>
      <c r="D174" t="s">
        <v>20</v>
      </c>
      <c r="E174">
        <v>10</v>
      </c>
      <c r="F174" t="s">
        <v>386</v>
      </c>
      <c r="G174">
        <v>500</v>
      </c>
      <c r="I174">
        <v>4</v>
      </c>
      <c r="N174" s="1">
        <v>14</v>
      </c>
      <c r="O174">
        <f t="shared" si="4"/>
        <v>14</v>
      </c>
      <c r="P174" t="str">
        <f t="shared" si="5"/>
        <v>With Affectionate</v>
      </c>
    </row>
    <row r="175" spans="1:16" x14ac:dyDescent="0.35">
      <c r="A175" t="s">
        <v>387</v>
      </c>
      <c r="C175" t="s">
        <v>66</v>
      </c>
      <c r="D175" t="s">
        <v>70</v>
      </c>
      <c r="E175">
        <v>16</v>
      </c>
      <c r="F175" t="s">
        <v>388</v>
      </c>
      <c r="G175">
        <v>1400</v>
      </c>
      <c r="H175">
        <v>62</v>
      </c>
      <c r="I175">
        <v>3</v>
      </c>
      <c r="M175">
        <v>160</v>
      </c>
      <c r="N175" s="1">
        <v>21</v>
      </c>
      <c r="O175">
        <f t="shared" si="4"/>
        <v>21</v>
      </c>
      <c r="P175" t="str">
        <f t="shared" si="5"/>
        <v>With Affectionate</v>
      </c>
    </row>
    <row r="176" spans="1:16" x14ac:dyDescent="0.35">
      <c r="A176" t="s">
        <v>389</v>
      </c>
      <c r="C176" t="s">
        <v>66</v>
      </c>
      <c r="D176" t="s">
        <v>20</v>
      </c>
      <c r="E176">
        <v>23</v>
      </c>
      <c r="F176" t="s">
        <v>390</v>
      </c>
      <c r="G176">
        <v>1900</v>
      </c>
      <c r="H176">
        <v>37</v>
      </c>
      <c r="I176">
        <v>2</v>
      </c>
      <c r="M176">
        <v>174</v>
      </c>
      <c r="N176" s="1">
        <v>341</v>
      </c>
      <c r="O176">
        <f t="shared" si="4"/>
        <v>341</v>
      </c>
      <c r="P176" t="str">
        <f t="shared" si="5"/>
        <v>Without Affectionate</v>
      </c>
    </row>
    <row r="177" spans="1:16" x14ac:dyDescent="0.35">
      <c r="A177" t="s">
        <v>391</v>
      </c>
      <c r="C177" t="s">
        <v>26</v>
      </c>
      <c r="D177" t="s">
        <v>26</v>
      </c>
      <c r="E177">
        <v>23</v>
      </c>
      <c r="F177" t="s">
        <v>392</v>
      </c>
      <c r="G177">
        <v>600</v>
      </c>
      <c r="I177">
        <v>3</v>
      </c>
      <c r="K177">
        <v>1</v>
      </c>
      <c r="N177" s="1">
        <v>205</v>
      </c>
      <c r="O177">
        <f t="shared" si="4"/>
        <v>205</v>
      </c>
      <c r="P177" t="str">
        <f t="shared" si="5"/>
        <v>With Affectionate</v>
      </c>
    </row>
    <row r="178" spans="1:16" x14ac:dyDescent="0.35">
      <c r="A178" t="s">
        <v>393</v>
      </c>
      <c r="C178" t="s">
        <v>66</v>
      </c>
      <c r="D178" t="s">
        <v>70</v>
      </c>
      <c r="E178">
        <v>26</v>
      </c>
      <c r="F178" t="s">
        <v>394</v>
      </c>
      <c r="G178">
        <v>400</v>
      </c>
      <c r="I178">
        <v>3</v>
      </c>
      <c r="M178">
        <v>166</v>
      </c>
      <c r="N178" s="1">
        <v>76</v>
      </c>
      <c r="O178">
        <f t="shared" si="4"/>
        <v>76</v>
      </c>
      <c r="P178" t="str">
        <f t="shared" si="5"/>
        <v>With Affectionate</v>
      </c>
    </row>
    <row r="179" spans="1:16" x14ac:dyDescent="0.35">
      <c r="A179" t="s">
        <v>395</v>
      </c>
      <c r="C179" t="s">
        <v>66</v>
      </c>
      <c r="D179" t="s">
        <v>20</v>
      </c>
      <c r="E179">
        <v>5</v>
      </c>
      <c r="F179" t="s">
        <v>396</v>
      </c>
      <c r="G179">
        <v>900</v>
      </c>
      <c r="I179">
        <v>3</v>
      </c>
      <c r="M179">
        <v>159</v>
      </c>
      <c r="N179" s="1">
        <v>371</v>
      </c>
      <c r="O179">
        <f t="shared" si="4"/>
        <v>371</v>
      </c>
      <c r="P179" t="str">
        <f t="shared" si="5"/>
        <v>Without Affectionate</v>
      </c>
    </row>
    <row r="180" spans="1:16" x14ac:dyDescent="0.35">
      <c r="A180" t="s">
        <v>397</v>
      </c>
      <c r="C180" t="s">
        <v>19</v>
      </c>
      <c r="D180" t="s">
        <v>49</v>
      </c>
      <c r="E180">
        <v>25</v>
      </c>
      <c r="F180" t="s">
        <v>214</v>
      </c>
      <c r="G180">
        <v>450</v>
      </c>
      <c r="H180">
        <v>43</v>
      </c>
      <c r="I180">
        <v>4</v>
      </c>
      <c r="M180">
        <v>113</v>
      </c>
      <c r="N180" s="1">
        <v>235</v>
      </c>
      <c r="O180">
        <f t="shared" si="4"/>
        <v>235</v>
      </c>
      <c r="P180" t="str">
        <f t="shared" si="5"/>
        <v>Without Affectionate</v>
      </c>
    </row>
    <row r="181" spans="1:16" x14ac:dyDescent="0.35">
      <c r="A181" t="s">
        <v>398</v>
      </c>
      <c r="C181" t="s">
        <v>33</v>
      </c>
      <c r="D181" t="s">
        <v>33</v>
      </c>
      <c r="E181">
        <v>19</v>
      </c>
      <c r="F181" t="s">
        <v>399</v>
      </c>
      <c r="G181">
        <v>1750</v>
      </c>
      <c r="I181">
        <v>6</v>
      </c>
      <c r="M181">
        <v>176</v>
      </c>
      <c r="N181" s="1">
        <v>79</v>
      </c>
      <c r="O181">
        <f t="shared" si="4"/>
        <v>79</v>
      </c>
      <c r="P181" t="str">
        <f t="shared" si="5"/>
        <v>With Affectionate</v>
      </c>
    </row>
    <row r="182" spans="1:16" x14ac:dyDescent="0.35">
      <c r="A182" t="s">
        <v>400</v>
      </c>
      <c r="C182" t="s">
        <v>15</v>
      </c>
      <c r="D182" t="s">
        <v>16</v>
      </c>
      <c r="E182">
        <v>2</v>
      </c>
      <c r="F182" t="s">
        <v>401</v>
      </c>
      <c r="G182">
        <v>700</v>
      </c>
      <c r="H182">
        <v>23</v>
      </c>
      <c r="I182">
        <v>3</v>
      </c>
      <c r="L182">
        <v>4</v>
      </c>
      <c r="M182">
        <v>22</v>
      </c>
      <c r="N182" s="1">
        <v>10</v>
      </c>
      <c r="O182">
        <f t="shared" si="4"/>
        <v>10</v>
      </c>
      <c r="P182" t="str">
        <f t="shared" si="5"/>
        <v>Without Affectionate</v>
      </c>
    </row>
    <row r="183" spans="1:16" x14ac:dyDescent="0.35">
      <c r="A183" t="s">
        <v>402</v>
      </c>
      <c r="C183" t="s">
        <v>42</v>
      </c>
      <c r="D183" t="s">
        <v>49</v>
      </c>
      <c r="E183">
        <v>26</v>
      </c>
      <c r="F183" t="s">
        <v>403</v>
      </c>
      <c r="G183">
        <v>1250</v>
      </c>
      <c r="H183">
        <v>2</v>
      </c>
      <c r="I183">
        <v>4</v>
      </c>
      <c r="L183">
        <v>1</v>
      </c>
      <c r="M183">
        <v>7</v>
      </c>
      <c r="N183" s="1">
        <v>12</v>
      </c>
      <c r="O183">
        <f t="shared" si="4"/>
        <v>12</v>
      </c>
      <c r="P183" t="str">
        <f t="shared" si="5"/>
        <v>Without Affectionate</v>
      </c>
    </row>
    <row r="184" spans="1:16" x14ac:dyDescent="0.35">
      <c r="A184" t="s">
        <v>404</v>
      </c>
      <c r="C184" t="s">
        <v>42</v>
      </c>
      <c r="D184" t="s">
        <v>49</v>
      </c>
      <c r="E184">
        <v>26</v>
      </c>
      <c r="F184" t="s">
        <v>403</v>
      </c>
      <c r="G184">
        <v>1250</v>
      </c>
      <c r="H184">
        <v>2</v>
      </c>
      <c r="I184">
        <v>4</v>
      </c>
      <c r="M184">
        <v>7</v>
      </c>
      <c r="N184" s="1">
        <v>54</v>
      </c>
      <c r="O184">
        <f t="shared" si="4"/>
        <v>54</v>
      </c>
      <c r="P184" t="str">
        <f t="shared" si="5"/>
        <v>Without Affectionate</v>
      </c>
    </row>
    <row r="185" spans="1:16" x14ac:dyDescent="0.35">
      <c r="A185" t="s">
        <v>405</v>
      </c>
      <c r="C185" t="s">
        <v>15</v>
      </c>
      <c r="D185" t="s">
        <v>16</v>
      </c>
      <c r="E185">
        <v>8</v>
      </c>
      <c r="F185" t="s">
        <v>403</v>
      </c>
      <c r="G185">
        <v>1250</v>
      </c>
      <c r="H185">
        <v>2</v>
      </c>
      <c r="I185">
        <v>4</v>
      </c>
      <c r="N185" s="1">
        <v>345</v>
      </c>
      <c r="O185">
        <f t="shared" si="4"/>
        <v>345</v>
      </c>
      <c r="P185" t="str">
        <f t="shared" si="5"/>
        <v>Without Affectionate</v>
      </c>
    </row>
    <row r="186" spans="1:16" x14ac:dyDescent="0.35">
      <c r="A186" t="s">
        <v>406</v>
      </c>
      <c r="C186" t="s">
        <v>15</v>
      </c>
      <c r="D186" t="s">
        <v>16</v>
      </c>
      <c r="E186">
        <v>4</v>
      </c>
      <c r="F186" t="s">
        <v>403</v>
      </c>
      <c r="G186">
        <v>1250</v>
      </c>
      <c r="H186">
        <v>2</v>
      </c>
      <c r="I186">
        <v>4</v>
      </c>
      <c r="N186" s="1">
        <v>521</v>
      </c>
      <c r="O186">
        <f t="shared" si="4"/>
        <v>521</v>
      </c>
      <c r="P186" t="str">
        <f t="shared" si="5"/>
        <v>Without Affectionate</v>
      </c>
    </row>
    <row r="187" spans="1:16" x14ac:dyDescent="0.35">
      <c r="A187" t="s">
        <v>407</v>
      </c>
      <c r="C187" t="s">
        <v>29</v>
      </c>
      <c r="D187" t="s">
        <v>49</v>
      </c>
      <c r="E187">
        <v>22</v>
      </c>
      <c r="F187" t="s">
        <v>408</v>
      </c>
      <c r="G187">
        <v>2650</v>
      </c>
      <c r="I187">
        <v>4</v>
      </c>
      <c r="M187">
        <v>54</v>
      </c>
      <c r="N187" s="1">
        <v>526</v>
      </c>
      <c r="O187">
        <f t="shared" si="4"/>
        <v>526</v>
      </c>
      <c r="P187" t="str">
        <f t="shared" si="5"/>
        <v>Without Affectionate</v>
      </c>
    </row>
    <row r="188" spans="1:16" x14ac:dyDescent="0.35">
      <c r="A188" t="s">
        <v>409</v>
      </c>
      <c r="C188" t="s">
        <v>29</v>
      </c>
      <c r="D188" t="s">
        <v>30</v>
      </c>
      <c r="E188">
        <v>40</v>
      </c>
      <c r="F188" t="s">
        <v>410</v>
      </c>
      <c r="G188">
        <v>2100</v>
      </c>
      <c r="I188">
        <v>6</v>
      </c>
      <c r="J188">
        <v>1</v>
      </c>
      <c r="N188" s="1">
        <v>72</v>
      </c>
      <c r="O188">
        <f t="shared" si="4"/>
        <v>72</v>
      </c>
      <c r="P188" t="str">
        <f t="shared" si="5"/>
        <v>Without Affectionate</v>
      </c>
    </row>
    <row r="189" spans="1:16" x14ac:dyDescent="0.35">
      <c r="A189" t="s">
        <v>411</v>
      </c>
      <c r="C189" t="s">
        <v>15</v>
      </c>
      <c r="D189" t="s">
        <v>16</v>
      </c>
      <c r="E189">
        <v>8</v>
      </c>
      <c r="F189" t="s">
        <v>412</v>
      </c>
      <c r="G189">
        <v>400</v>
      </c>
      <c r="H189">
        <v>57</v>
      </c>
      <c r="I189">
        <v>3</v>
      </c>
      <c r="M189">
        <v>31</v>
      </c>
      <c r="N189" s="1">
        <v>28</v>
      </c>
      <c r="O189">
        <f t="shared" si="4"/>
        <v>28</v>
      </c>
      <c r="P189" t="str">
        <f t="shared" si="5"/>
        <v>Without Affectionate</v>
      </c>
    </row>
    <row r="190" spans="1:16" x14ac:dyDescent="0.35">
      <c r="A190" t="s">
        <v>413</v>
      </c>
      <c r="C190" t="s">
        <v>33</v>
      </c>
      <c r="D190" t="s">
        <v>33</v>
      </c>
      <c r="E190">
        <v>14</v>
      </c>
      <c r="F190" t="s">
        <v>414</v>
      </c>
      <c r="G190">
        <v>1100</v>
      </c>
      <c r="H190">
        <v>27</v>
      </c>
      <c r="I190">
        <v>5</v>
      </c>
      <c r="M190">
        <v>142</v>
      </c>
      <c r="N190" s="1">
        <v>96</v>
      </c>
      <c r="O190">
        <f t="shared" si="4"/>
        <v>96</v>
      </c>
      <c r="P190" t="str">
        <f t="shared" si="5"/>
        <v>With Affectionate</v>
      </c>
    </row>
    <row r="191" spans="1:16" x14ac:dyDescent="0.35">
      <c r="A191" t="s">
        <v>415</v>
      </c>
      <c r="C191" t="s">
        <v>33</v>
      </c>
      <c r="D191" t="s">
        <v>33</v>
      </c>
      <c r="E191">
        <v>13</v>
      </c>
      <c r="F191" t="s">
        <v>416</v>
      </c>
      <c r="G191">
        <v>2750</v>
      </c>
      <c r="I191">
        <v>3</v>
      </c>
      <c r="M191">
        <v>162</v>
      </c>
      <c r="N191" s="1">
        <v>65</v>
      </c>
      <c r="O191">
        <f t="shared" si="4"/>
        <v>65</v>
      </c>
      <c r="P191" t="str">
        <f t="shared" si="5"/>
        <v>Without Affectionate</v>
      </c>
    </row>
    <row r="192" spans="1:16" x14ac:dyDescent="0.35">
      <c r="A192" t="s">
        <v>417</v>
      </c>
      <c r="C192" t="s">
        <v>26</v>
      </c>
      <c r="D192" t="s">
        <v>26</v>
      </c>
      <c r="E192">
        <v>11</v>
      </c>
      <c r="F192" t="s">
        <v>418</v>
      </c>
      <c r="G192">
        <v>400</v>
      </c>
      <c r="I192">
        <v>3</v>
      </c>
      <c r="M192">
        <v>97</v>
      </c>
      <c r="N192" s="1">
        <v>14</v>
      </c>
      <c r="O192">
        <f t="shared" si="4"/>
        <v>14</v>
      </c>
      <c r="P192" t="str">
        <f t="shared" si="5"/>
        <v>Without Affectionate</v>
      </c>
    </row>
    <row r="193" spans="1:16" x14ac:dyDescent="0.35">
      <c r="A193" t="s">
        <v>419</v>
      </c>
      <c r="B193" t="s">
        <v>420</v>
      </c>
      <c r="C193" t="s">
        <v>66</v>
      </c>
      <c r="D193" t="s">
        <v>70</v>
      </c>
      <c r="E193">
        <v>28</v>
      </c>
      <c r="F193" t="s">
        <v>421</v>
      </c>
      <c r="G193">
        <v>700</v>
      </c>
      <c r="I193">
        <v>1</v>
      </c>
      <c r="M193">
        <v>139</v>
      </c>
      <c r="N193" s="1">
        <v>15</v>
      </c>
      <c r="O193">
        <f t="shared" si="4"/>
        <v>15</v>
      </c>
      <c r="P193" t="str">
        <f t="shared" si="5"/>
        <v>Without Affectionate</v>
      </c>
    </row>
    <row r="194" spans="1:16" x14ac:dyDescent="0.35">
      <c r="A194" t="s">
        <v>422</v>
      </c>
      <c r="C194" t="s">
        <v>19</v>
      </c>
      <c r="D194" t="s">
        <v>49</v>
      </c>
      <c r="E194">
        <v>32</v>
      </c>
      <c r="F194" t="s">
        <v>263</v>
      </c>
      <c r="G194">
        <v>1500</v>
      </c>
      <c r="H194">
        <v>4</v>
      </c>
      <c r="I194">
        <v>3</v>
      </c>
      <c r="M194">
        <v>3</v>
      </c>
      <c r="N194" s="1">
        <v>119</v>
      </c>
      <c r="O194">
        <f t="shared" si="4"/>
        <v>119</v>
      </c>
      <c r="P194" t="str">
        <f t="shared" si="5"/>
        <v>With Affectionate</v>
      </c>
    </row>
    <row r="195" spans="1:16" x14ac:dyDescent="0.35">
      <c r="A195" t="s">
        <v>423</v>
      </c>
      <c r="C195" t="s">
        <v>66</v>
      </c>
      <c r="D195" t="s">
        <v>20</v>
      </c>
      <c r="E195">
        <v>39</v>
      </c>
      <c r="F195" t="s">
        <v>424</v>
      </c>
      <c r="G195">
        <v>1150</v>
      </c>
      <c r="H195">
        <v>52</v>
      </c>
      <c r="I195">
        <v>3</v>
      </c>
      <c r="M195">
        <v>41</v>
      </c>
      <c r="N195" s="1">
        <v>230</v>
      </c>
      <c r="O195">
        <f t="shared" ref="O195:O251" si="6">AVERAGEIF($A:$A, A195, $N:$N)</f>
        <v>230</v>
      </c>
      <c r="P195" t="str">
        <f t="shared" ref="P195:P251" si="7">IF(ISNUMBER(SEARCH("Affectionate",F194)),"With Affectionate","Without Affectionate")</f>
        <v>Without Affectionate</v>
      </c>
    </row>
    <row r="196" spans="1:16" x14ac:dyDescent="0.35">
      <c r="A196" t="s">
        <v>425</v>
      </c>
      <c r="C196" t="s">
        <v>29</v>
      </c>
      <c r="D196" t="s">
        <v>30</v>
      </c>
      <c r="E196">
        <v>51</v>
      </c>
      <c r="F196" t="s">
        <v>426</v>
      </c>
      <c r="G196">
        <v>1600</v>
      </c>
      <c r="H196">
        <v>9</v>
      </c>
      <c r="I196">
        <v>6</v>
      </c>
      <c r="J196">
        <v>1</v>
      </c>
      <c r="L196">
        <v>7</v>
      </c>
      <c r="M196">
        <v>8</v>
      </c>
      <c r="N196" s="1">
        <v>121</v>
      </c>
      <c r="O196">
        <f t="shared" si="6"/>
        <v>121</v>
      </c>
      <c r="P196" t="str">
        <f t="shared" si="7"/>
        <v>Without Affectionate</v>
      </c>
    </row>
    <row r="197" spans="1:16" x14ac:dyDescent="0.35">
      <c r="A197" t="s">
        <v>427</v>
      </c>
      <c r="C197" t="s">
        <v>29</v>
      </c>
      <c r="D197" t="s">
        <v>30</v>
      </c>
      <c r="E197">
        <v>66</v>
      </c>
      <c r="F197" t="s">
        <v>428</v>
      </c>
      <c r="G197">
        <v>1650</v>
      </c>
      <c r="H197">
        <v>65</v>
      </c>
      <c r="I197">
        <v>3</v>
      </c>
      <c r="M197">
        <v>48</v>
      </c>
      <c r="N197" s="1">
        <v>147</v>
      </c>
      <c r="O197">
        <f t="shared" si="6"/>
        <v>147</v>
      </c>
      <c r="P197" t="str">
        <f t="shared" si="7"/>
        <v>Without Affectionate</v>
      </c>
    </row>
    <row r="198" spans="1:16" x14ac:dyDescent="0.35">
      <c r="A198" t="s">
        <v>429</v>
      </c>
      <c r="C198" t="s">
        <v>66</v>
      </c>
      <c r="D198" t="s">
        <v>20</v>
      </c>
      <c r="E198">
        <v>21</v>
      </c>
      <c r="F198" t="s">
        <v>430</v>
      </c>
      <c r="G198">
        <v>700</v>
      </c>
      <c r="H198">
        <v>43</v>
      </c>
      <c r="I198">
        <v>3</v>
      </c>
      <c r="M198">
        <v>123</v>
      </c>
      <c r="N198" s="1">
        <v>245</v>
      </c>
      <c r="O198">
        <f t="shared" si="6"/>
        <v>245</v>
      </c>
      <c r="P198" t="str">
        <f t="shared" si="7"/>
        <v>Without Affectionate</v>
      </c>
    </row>
    <row r="199" spans="1:16" x14ac:dyDescent="0.35">
      <c r="A199" t="s">
        <v>431</v>
      </c>
      <c r="C199" t="s">
        <v>29</v>
      </c>
      <c r="D199" t="s">
        <v>37</v>
      </c>
      <c r="E199">
        <v>26</v>
      </c>
      <c r="F199" t="s">
        <v>432</v>
      </c>
      <c r="G199">
        <v>1350</v>
      </c>
      <c r="H199">
        <v>33</v>
      </c>
      <c r="I199">
        <v>4</v>
      </c>
      <c r="M199">
        <v>57</v>
      </c>
      <c r="N199" s="1">
        <v>128</v>
      </c>
      <c r="O199">
        <f t="shared" si="6"/>
        <v>128</v>
      </c>
      <c r="P199" t="str">
        <f t="shared" si="7"/>
        <v>Without Affectionate</v>
      </c>
    </row>
    <row r="200" spans="1:16" x14ac:dyDescent="0.35">
      <c r="A200" t="s">
        <v>433</v>
      </c>
      <c r="C200" t="s">
        <v>29</v>
      </c>
      <c r="D200" t="s">
        <v>30</v>
      </c>
      <c r="E200">
        <v>33</v>
      </c>
      <c r="F200" t="s">
        <v>434</v>
      </c>
      <c r="G200">
        <v>900</v>
      </c>
      <c r="I200">
        <v>5</v>
      </c>
      <c r="N200" s="1">
        <v>27</v>
      </c>
      <c r="O200">
        <f t="shared" si="6"/>
        <v>27</v>
      </c>
      <c r="P200" t="str">
        <f t="shared" si="7"/>
        <v>Without Affectionate</v>
      </c>
    </row>
    <row r="201" spans="1:16" x14ac:dyDescent="0.35">
      <c r="A201" t="s">
        <v>435</v>
      </c>
      <c r="C201" t="s">
        <v>42</v>
      </c>
      <c r="D201" t="s">
        <v>16</v>
      </c>
      <c r="E201">
        <v>7</v>
      </c>
      <c r="F201" t="s">
        <v>436</v>
      </c>
      <c r="G201">
        <v>800</v>
      </c>
      <c r="H201">
        <v>15</v>
      </c>
      <c r="I201">
        <v>3</v>
      </c>
      <c r="M201">
        <v>110</v>
      </c>
      <c r="N201" s="1">
        <v>56</v>
      </c>
      <c r="O201">
        <f t="shared" si="6"/>
        <v>56</v>
      </c>
      <c r="P201" t="str">
        <f t="shared" si="7"/>
        <v>Without Affectionate</v>
      </c>
    </row>
    <row r="202" spans="1:16" x14ac:dyDescent="0.35">
      <c r="A202" t="s">
        <v>437</v>
      </c>
      <c r="C202" t="s">
        <v>26</v>
      </c>
      <c r="D202" t="s">
        <v>16</v>
      </c>
      <c r="E202">
        <v>8</v>
      </c>
      <c r="F202" t="s">
        <v>438</v>
      </c>
      <c r="G202">
        <v>800</v>
      </c>
      <c r="M202">
        <v>18</v>
      </c>
      <c r="N202" s="1">
        <v>89</v>
      </c>
      <c r="O202">
        <f t="shared" si="6"/>
        <v>89</v>
      </c>
      <c r="P202" t="str">
        <f t="shared" si="7"/>
        <v>Without Affectionate</v>
      </c>
    </row>
    <row r="203" spans="1:16" x14ac:dyDescent="0.35">
      <c r="A203" t="s">
        <v>439</v>
      </c>
      <c r="B203" t="s">
        <v>440</v>
      </c>
      <c r="C203" t="s">
        <v>29</v>
      </c>
      <c r="D203" t="s">
        <v>33</v>
      </c>
      <c r="E203">
        <v>17</v>
      </c>
      <c r="F203" t="s">
        <v>438</v>
      </c>
      <c r="G203">
        <v>1350</v>
      </c>
      <c r="H203">
        <v>18</v>
      </c>
      <c r="I203">
        <v>4</v>
      </c>
      <c r="L203">
        <v>3</v>
      </c>
      <c r="M203">
        <v>90</v>
      </c>
      <c r="N203" s="1">
        <v>95</v>
      </c>
      <c r="O203">
        <f t="shared" si="6"/>
        <v>95</v>
      </c>
      <c r="P203" t="str">
        <f t="shared" si="7"/>
        <v>Without Affectionate</v>
      </c>
    </row>
    <row r="204" spans="1:16" x14ac:dyDescent="0.35">
      <c r="A204" t="s">
        <v>258</v>
      </c>
      <c r="C204" t="s">
        <v>29</v>
      </c>
      <c r="D204" t="s">
        <v>33</v>
      </c>
      <c r="E204">
        <v>31</v>
      </c>
      <c r="F204" t="s">
        <v>438</v>
      </c>
      <c r="G204">
        <v>1250</v>
      </c>
      <c r="M204">
        <v>80</v>
      </c>
      <c r="N204" s="1">
        <v>39</v>
      </c>
      <c r="O204">
        <f t="shared" si="6"/>
        <v>61</v>
      </c>
      <c r="P204" t="str">
        <f t="shared" si="7"/>
        <v>Without Affectionate</v>
      </c>
    </row>
    <row r="205" spans="1:16" x14ac:dyDescent="0.35">
      <c r="A205" t="s">
        <v>441</v>
      </c>
      <c r="C205" t="s">
        <v>66</v>
      </c>
      <c r="D205" t="s">
        <v>20</v>
      </c>
      <c r="E205">
        <v>42</v>
      </c>
      <c r="F205" t="s">
        <v>442</v>
      </c>
      <c r="G205">
        <v>1100</v>
      </c>
      <c r="H205">
        <v>47</v>
      </c>
      <c r="I205">
        <v>1</v>
      </c>
      <c r="M205">
        <v>168</v>
      </c>
      <c r="N205" s="1">
        <v>72</v>
      </c>
      <c r="O205">
        <f t="shared" si="6"/>
        <v>72</v>
      </c>
      <c r="P205" t="str">
        <f t="shared" si="7"/>
        <v>Without Affectionate</v>
      </c>
    </row>
    <row r="206" spans="1:16" x14ac:dyDescent="0.35">
      <c r="A206" t="s">
        <v>443</v>
      </c>
      <c r="B206" t="s">
        <v>444</v>
      </c>
      <c r="C206" t="s">
        <v>26</v>
      </c>
      <c r="D206" t="s">
        <v>26</v>
      </c>
      <c r="E206">
        <v>9</v>
      </c>
      <c r="F206" t="s">
        <v>445</v>
      </c>
      <c r="G206">
        <v>900</v>
      </c>
      <c r="H206">
        <v>65</v>
      </c>
      <c r="I206">
        <v>3</v>
      </c>
      <c r="M206">
        <v>58</v>
      </c>
      <c r="N206" s="1">
        <v>26</v>
      </c>
      <c r="O206">
        <f t="shared" si="6"/>
        <v>26</v>
      </c>
      <c r="P206" t="str">
        <f t="shared" si="7"/>
        <v>Without Affectionate</v>
      </c>
    </row>
    <row r="207" spans="1:16" x14ac:dyDescent="0.35">
      <c r="A207" t="s">
        <v>446</v>
      </c>
      <c r="C207" t="s">
        <v>26</v>
      </c>
      <c r="D207" t="s">
        <v>26</v>
      </c>
      <c r="E207">
        <v>9</v>
      </c>
      <c r="F207" t="s">
        <v>447</v>
      </c>
      <c r="G207">
        <v>900</v>
      </c>
      <c r="H207">
        <v>56</v>
      </c>
      <c r="I207">
        <v>3</v>
      </c>
      <c r="M207">
        <v>150</v>
      </c>
      <c r="N207" s="1">
        <v>38</v>
      </c>
      <c r="O207">
        <f t="shared" si="6"/>
        <v>38</v>
      </c>
      <c r="P207" t="str">
        <f t="shared" si="7"/>
        <v>Without Affectionate</v>
      </c>
    </row>
    <row r="208" spans="1:16" x14ac:dyDescent="0.35">
      <c r="A208" t="s">
        <v>448</v>
      </c>
      <c r="C208" t="s">
        <v>19</v>
      </c>
      <c r="D208" t="s">
        <v>49</v>
      </c>
      <c r="E208">
        <v>30</v>
      </c>
      <c r="F208" t="s">
        <v>216</v>
      </c>
      <c r="G208">
        <v>500</v>
      </c>
      <c r="H208">
        <v>37</v>
      </c>
      <c r="I208">
        <v>3</v>
      </c>
      <c r="M208">
        <v>95</v>
      </c>
      <c r="N208" s="1">
        <v>77</v>
      </c>
      <c r="O208">
        <f t="shared" si="6"/>
        <v>77</v>
      </c>
      <c r="P208" t="str">
        <f t="shared" si="7"/>
        <v>Without Affectionate</v>
      </c>
    </row>
    <row r="209" spans="1:16" x14ac:dyDescent="0.35">
      <c r="A209" t="s">
        <v>449</v>
      </c>
      <c r="C209" t="s">
        <v>42</v>
      </c>
      <c r="D209" t="s">
        <v>37</v>
      </c>
      <c r="E209">
        <v>22</v>
      </c>
      <c r="F209" t="s">
        <v>450</v>
      </c>
      <c r="G209">
        <v>1100</v>
      </c>
      <c r="H209">
        <v>51</v>
      </c>
      <c r="I209">
        <v>3</v>
      </c>
      <c r="M209">
        <v>64</v>
      </c>
      <c r="N209" s="1">
        <v>11</v>
      </c>
      <c r="O209">
        <f t="shared" si="6"/>
        <v>11</v>
      </c>
      <c r="P209" t="str">
        <f t="shared" si="7"/>
        <v>Without Affectionate</v>
      </c>
    </row>
    <row r="210" spans="1:16" x14ac:dyDescent="0.35">
      <c r="A210" t="s">
        <v>451</v>
      </c>
      <c r="C210" t="s">
        <v>33</v>
      </c>
      <c r="D210" t="s">
        <v>33</v>
      </c>
      <c r="E210">
        <v>39</v>
      </c>
      <c r="F210" t="s">
        <v>376</v>
      </c>
      <c r="G210">
        <v>1350</v>
      </c>
      <c r="H210">
        <v>63</v>
      </c>
      <c r="I210">
        <v>4</v>
      </c>
      <c r="M210">
        <v>70</v>
      </c>
      <c r="N210" s="1">
        <v>101</v>
      </c>
      <c r="O210">
        <f t="shared" si="6"/>
        <v>101</v>
      </c>
      <c r="P210" t="str">
        <f t="shared" si="7"/>
        <v>With Affectionate</v>
      </c>
    </row>
    <row r="211" spans="1:16" x14ac:dyDescent="0.35">
      <c r="A211" t="s">
        <v>452</v>
      </c>
      <c r="C211" t="s">
        <v>33</v>
      </c>
      <c r="D211" t="s">
        <v>33</v>
      </c>
      <c r="E211">
        <v>35</v>
      </c>
      <c r="F211" t="s">
        <v>251</v>
      </c>
      <c r="G211">
        <v>1400</v>
      </c>
      <c r="H211">
        <v>3</v>
      </c>
      <c r="I211">
        <v>6</v>
      </c>
      <c r="M211">
        <v>2</v>
      </c>
      <c r="N211" s="1">
        <v>555</v>
      </c>
      <c r="O211">
        <f t="shared" si="6"/>
        <v>555</v>
      </c>
      <c r="P211" t="str">
        <f t="shared" si="7"/>
        <v>Without Affectionate</v>
      </c>
    </row>
    <row r="212" spans="1:16" x14ac:dyDescent="0.35">
      <c r="A212" t="s">
        <v>453</v>
      </c>
      <c r="B212" t="s">
        <v>454</v>
      </c>
      <c r="C212" t="s">
        <v>33</v>
      </c>
      <c r="D212" t="s">
        <v>33</v>
      </c>
      <c r="E212">
        <v>9</v>
      </c>
      <c r="F212" t="s">
        <v>455</v>
      </c>
      <c r="G212">
        <v>900</v>
      </c>
      <c r="H212">
        <v>6</v>
      </c>
      <c r="I212">
        <v>4</v>
      </c>
      <c r="M212">
        <v>24</v>
      </c>
      <c r="N212" s="1">
        <v>542</v>
      </c>
      <c r="O212">
        <f t="shared" si="6"/>
        <v>542</v>
      </c>
      <c r="P212" t="str">
        <f t="shared" si="7"/>
        <v>Without Affectionate</v>
      </c>
    </row>
    <row r="213" spans="1:16" x14ac:dyDescent="0.35">
      <c r="A213" t="s">
        <v>456</v>
      </c>
      <c r="C213" t="s">
        <v>42</v>
      </c>
      <c r="D213" t="s">
        <v>16</v>
      </c>
      <c r="E213">
        <v>10</v>
      </c>
      <c r="F213" t="s">
        <v>457</v>
      </c>
      <c r="G213">
        <v>900</v>
      </c>
      <c r="I213">
        <v>4</v>
      </c>
      <c r="M213">
        <v>45</v>
      </c>
      <c r="N213" s="1">
        <v>123</v>
      </c>
      <c r="O213">
        <f t="shared" si="6"/>
        <v>123</v>
      </c>
      <c r="P213" t="str">
        <f t="shared" si="7"/>
        <v>With Affectionate</v>
      </c>
    </row>
    <row r="214" spans="1:16" x14ac:dyDescent="0.35">
      <c r="A214" t="s">
        <v>458</v>
      </c>
      <c r="C214" t="s">
        <v>15</v>
      </c>
      <c r="D214" t="s">
        <v>16</v>
      </c>
      <c r="E214">
        <v>6</v>
      </c>
      <c r="F214" t="s">
        <v>459</v>
      </c>
      <c r="G214">
        <v>1000</v>
      </c>
      <c r="H214">
        <v>70</v>
      </c>
      <c r="I214">
        <v>3</v>
      </c>
      <c r="L214">
        <v>2</v>
      </c>
      <c r="M214">
        <v>20</v>
      </c>
      <c r="N214" s="1">
        <v>105</v>
      </c>
      <c r="O214">
        <f t="shared" si="6"/>
        <v>105</v>
      </c>
      <c r="P214" t="str">
        <f t="shared" si="7"/>
        <v>Without Affectionate</v>
      </c>
    </row>
    <row r="215" spans="1:16" x14ac:dyDescent="0.35">
      <c r="A215" t="s">
        <v>460</v>
      </c>
      <c r="C215" t="s">
        <v>29</v>
      </c>
      <c r="D215" t="s">
        <v>37</v>
      </c>
      <c r="E215">
        <v>24</v>
      </c>
      <c r="F215" t="s">
        <v>281</v>
      </c>
      <c r="G215">
        <v>950</v>
      </c>
      <c r="H215">
        <v>45</v>
      </c>
      <c r="I215">
        <v>1</v>
      </c>
      <c r="L215">
        <v>5</v>
      </c>
      <c r="M215">
        <v>12</v>
      </c>
      <c r="N215" s="1">
        <v>107</v>
      </c>
      <c r="O215">
        <f t="shared" si="6"/>
        <v>107</v>
      </c>
      <c r="P215" t="str">
        <f t="shared" si="7"/>
        <v>Without Affectionate</v>
      </c>
    </row>
    <row r="216" spans="1:16" x14ac:dyDescent="0.35">
      <c r="A216" t="s">
        <v>461</v>
      </c>
      <c r="C216" t="s">
        <v>15</v>
      </c>
      <c r="D216" t="s">
        <v>26</v>
      </c>
      <c r="E216">
        <v>5</v>
      </c>
      <c r="F216" t="s">
        <v>462</v>
      </c>
      <c r="G216">
        <v>700</v>
      </c>
      <c r="H216">
        <v>37</v>
      </c>
      <c r="I216">
        <v>3</v>
      </c>
      <c r="M216">
        <v>106</v>
      </c>
      <c r="N216" s="1">
        <v>891</v>
      </c>
      <c r="O216">
        <f t="shared" si="6"/>
        <v>891</v>
      </c>
      <c r="P216" t="str">
        <f t="shared" si="7"/>
        <v>Without Affectionate</v>
      </c>
    </row>
    <row r="217" spans="1:16" x14ac:dyDescent="0.35">
      <c r="A217" t="s">
        <v>463</v>
      </c>
      <c r="C217" t="s">
        <v>26</v>
      </c>
      <c r="D217" t="s">
        <v>26</v>
      </c>
      <c r="E217">
        <v>17</v>
      </c>
      <c r="F217" t="s">
        <v>464</v>
      </c>
      <c r="G217">
        <v>800</v>
      </c>
      <c r="H217">
        <v>55</v>
      </c>
      <c r="I217">
        <v>4</v>
      </c>
      <c r="M217">
        <v>172</v>
      </c>
      <c r="N217" s="1">
        <v>397</v>
      </c>
      <c r="O217">
        <f t="shared" si="6"/>
        <v>397</v>
      </c>
      <c r="P217" t="str">
        <f t="shared" si="7"/>
        <v>Without Affectionate</v>
      </c>
    </row>
    <row r="218" spans="1:16" x14ac:dyDescent="0.35">
      <c r="A218" t="s">
        <v>465</v>
      </c>
      <c r="C218" t="s">
        <v>66</v>
      </c>
      <c r="D218" t="s">
        <v>20</v>
      </c>
      <c r="E218">
        <v>28</v>
      </c>
      <c r="F218" t="s">
        <v>466</v>
      </c>
      <c r="G218">
        <v>900</v>
      </c>
      <c r="I218">
        <v>5</v>
      </c>
      <c r="M218">
        <v>188</v>
      </c>
      <c r="N218" s="1">
        <v>675</v>
      </c>
      <c r="O218">
        <f t="shared" si="6"/>
        <v>675</v>
      </c>
      <c r="P218" t="str">
        <f t="shared" si="7"/>
        <v>Without Affectionate</v>
      </c>
    </row>
    <row r="219" spans="1:16" x14ac:dyDescent="0.35">
      <c r="A219" t="s">
        <v>467</v>
      </c>
      <c r="C219" t="s">
        <v>26</v>
      </c>
      <c r="D219" t="s">
        <v>26</v>
      </c>
      <c r="E219">
        <v>8</v>
      </c>
      <c r="F219" t="s">
        <v>240</v>
      </c>
      <c r="G219">
        <v>850</v>
      </c>
      <c r="H219">
        <v>40</v>
      </c>
      <c r="I219">
        <v>3</v>
      </c>
      <c r="M219">
        <v>122</v>
      </c>
      <c r="N219" s="1">
        <v>393</v>
      </c>
      <c r="O219">
        <f t="shared" si="6"/>
        <v>393</v>
      </c>
      <c r="P219" t="str">
        <f t="shared" si="7"/>
        <v>Without Affectionate</v>
      </c>
    </row>
    <row r="220" spans="1:16" x14ac:dyDescent="0.35">
      <c r="A220" t="s">
        <v>468</v>
      </c>
      <c r="C220" t="s">
        <v>33</v>
      </c>
      <c r="D220" t="s">
        <v>33</v>
      </c>
      <c r="E220">
        <v>49</v>
      </c>
      <c r="F220" t="s">
        <v>469</v>
      </c>
      <c r="G220">
        <v>900</v>
      </c>
      <c r="I220">
        <v>4</v>
      </c>
      <c r="N220" s="1">
        <v>215</v>
      </c>
      <c r="O220">
        <f t="shared" si="6"/>
        <v>215</v>
      </c>
      <c r="P220" t="str">
        <f t="shared" si="7"/>
        <v>With Affectionate</v>
      </c>
    </row>
    <row r="221" spans="1:16" x14ac:dyDescent="0.35">
      <c r="A221" t="s">
        <v>470</v>
      </c>
      <c r="C221" t="s">
        <v>19</v>
      </c>
      <c r="D221" t="s">
        <v>49</v>
      </c>
      <c r="E221">
        <v>10</v>
      </c>
      <c r="F221" t="s">
        <v>179</v>
      </c>
      <c r="G221">
        <v>700</v>
      </c>
      <c r="H221">
        <v>20</v>
      </c>
      <c r="I221">
        <v>3</v>
      </c>
      <c r="M221">
        <v>29</v>
      </c>
      <c r="N221" s="1">
        <v>107</v>
      </c>
      <c r="O221">
        <f t="shared" si="6"/>
        <v>107</v>
      </c>
      <c r="P221" t="str">
        <f t="shared" si="7"/>
        <v>Without Affectionate</v>
      </c>
    </row>
    <row r="222" spans="1:16" x14ac:dyDescent="0.35">
      <c r="A222" t="s">
        <v>471</v>
      </c>
      <c r="C222" t="s">
        <v>42</v>
      </c>
      <c r="D222" t="s">
        <v>37</v>
      </c>
      <c r="E222">
        <v>8</v>
      </c>
      <c r="F222" t="s">
        <v>43</v>
      </c>
      <c r="G222">
        <v>700</v>
      </c>
      <c r="I222">
        <v>4</v>
      </c>
      <c r="M222">
        <v>118</v>
      </c>
      <c r="N222" s="1">
        <v>110</v>
      </c>
      <c r="O222">
        <f t="shared" si="6"/>
        <v>110</v>
      </c>
      <c r="P222" t="str">
        <f t="shared" si="7"/>
        <v>Without Affectionate</v>
      </c>
    </row>
    <row r="223" spans="1:16" x14ac:dyDescent="0.35">
      <c r="A223" t="s">
        <v>472</v>
      </c>
      <c r="B223" t="s">
        <v>473</v>
      </c>
      <c r="C223" t="s">
        <v>26</v>
      </c>
      <c r="D223" t="s">
        <v>26</v>
      </c>
      <c r="E223">
        <v>14</v>
      </c>
      <c r="F223" t="s">
        <v>474</v>
      </c>
      <c r="G223">
        <v>1750</v>
      </c>
      <c r="H223">
        <v>49</v>
      </c>
      <c r="I223">
        <v>3</v>
      </c>
      <c r="K223">
        <v>1</v>
      </c>
      <c r="M223">
        <v>82</v>
      </c>
      <c r="N223" s="1">
        <v>25</v>
      </c>
      <c r="O223">
        <f t="shared" si="6"/>
        <v>25</v>
      </c>
      <c r="P223" t="str">
        <f t="shared" si="7"/>
        <v>Without Affectionate</v>
      </c>
    </row>
    <row r="224" spans="1:16" x14ac:dyDescent="0.35">
      <c r="A224" t="s">
        <v>475</v>
      </c>
      <c r="C224" t="s">
        <v>19</v>
      </c>
      <c r="D224" t="s">
        <v>49</v>
      </c>
      <c r="E224">
        <v>19</v>
      </c>
      <c r="F224" t="s">
        <v>476</v>
      </c>
      <c r="G224">
        <v>2500</v>
      </c>
      <c r="I224">
        <v>3</v>
      </c>
      <c r="M224">
        <v>161</v>
      </c>
      <c r="N224" s="1">
        <v>87</v>
      </c>
      <c r="O224">
        <f t="shared" si="6"/>
        <v>87</v>
      </c>
      <c r="P224" t="str">
        <f t="shared" si="7"/>
        <v>With Affectionate</v>
      </c>
    </row>
    <row r="225" spans="1:16" x14ac:dyDescent="0.35">
      <c r="A225" t="s">
        <v>477</v>
      </c>
      <c r="C225" t="s">
        <v>33</v>
      </c>
      <c r="D225" t="s">
        <v>33</v>
      </c>
      <c r="E225">
        <v>13</v>
      </c>
      <c r="F225" t="s">
        <v>478</v>
      </c>
      <c r="G225">
        <v>800</v>
      </c>
      <c r="I225">
        <v>4</v>
      </c>
      <c r="M225">
        <v>149</v>
      </c>
      <c r="N225" s="1">
        <v>45</v>
      </c>
      <c r="O225">
        <f t="shared" si="6"/>
        <v>45</v>
      </c>
      <c r="P225" t="str">
        <f t="shared" si="7"/>
        <v>Without Affectionate</v>
      </c>
    </row>
    <row r="226" spans="1:16" x14ac:dyDescent="0.35">
      <c r="A226" t="s">
        <v>26</v>
      </c>
      <c r="C226" t="s">
        <v>26</v>
      </c>
      <c r="D226" t="s">
        <v>26</v>
      </c>
      <c r="E226">
        <v>8</v>
      </c>
      <c r="F226" t="s">
        <v>479</v>
      </c>
      <c r="G226">
        <v>1050</v>
      </c>
      <c r="H226">
        <v>47</v>
      </c>
      <c r="I226">
        <v>3</v>
      </c>
      <c r="M226">
        <v>42</v>
      </c>
      <c r="N226" s="1">
        <v>55</v>
      </c>
      <c r="O226">
        <f t="shared" si="6"/>
        <v>55</v>
      </c>
      <c r="P226" t="str">
        <f t="shared" si="7"/>
        <v>Without Affectionate</v>
      </c>
    </row>
    <row r="227" spans="1:16" x14ac:dyDescent="0.35">
      <c r="A227" t="s">
        <v>480</v>
      </c>
      <c r="C227" t="s">
        <v>66</v>
      </c>
      <c r="D227" t="s">
        <v>20</v>
      </c>
      <c r="E227">
        <v>28</v>
      </c>
      <c r="F227" t="s">
        <v>481</v>
      </c>
      <c r="G227">
        <v>700</v>
      </c>
      <c r="I227">
        <v>2</v>
      </c>
      <c r="N227" s="1">
        <v>23</v>
      </c>
      <c r="O227">
        <f t="shared" si="6"/>
        <v>23</v>
      </c>
      <c r="P227" t="str">
        <f t="shared" si="7"/>
        <v>With Affectionate</v>
      </c>
    </row>
    <row r="228" spans="1:16" x14ac:dyDescent="0.35">
      <c r="A228" t="s">
        <v>482</v>
      </c>
      <c r="C228" t="s">
        <v>29</v>
      </c>
      <c r="D228" t="s">
        <v>30</v>
      </c>
      <c r="E228">
        <v>71</v>
      </c>
      <c r="F228" t="s">
        <v>483</v>
      </c>
      <c r="G228">
        <v>3000</v>
      </c>
      <c r="I228">
        <v>6</v>
      </c>
      <c r="M228">
        <v>153</v>
      </c>
      <c r="N228" s="1">
        <v>45</v>
      </c>
      <c r="O228">
        <f t="shared" si="6"/>
        <v>45</v>
      </c>
      <c r="P228" t="str">
        <f t="shared" si="7"/>
        <v>Without Affectionate</v>
      </c>
    </row>
    <row r="229" spans="1:16" x14ac:dyDescent="0.35">
      <c r="A229" t="s">
        <v>484</v>
      </c>
      <c r="C229" t="s">
        <v>42</v>
      </c>
      <c r="D229" t="s">
        <v>16</v>
      </c>
      <c r="E229">
        <v>6</v>
      </c>
      <c r="F229" t="s">
        <v>485</v>
      </c>
      <c r="G229">
        <v>900</v>
      </c>
      <c r="H229">
        <v>46</v>
      </c>
      <c r="I229">
        <v>4</v>
      </c>
      <c r="M229">
        <v>121</v>
      </c>
      <c r="N229" s="1">
        <v>101</v>
      </c>
      <c r="O229">
        <f t="shared" si="6"/>
        <v>101</v>
      </c>
      <c r="P229" t="str">
        <f t="shared" si="7"/>
        <v>Without Affectionate</v>
      </c>
    </row>
    <row r="230" spans="1:16" x14ac:dyDescent="0.35">
      <c r="A230" t="s">
        <v>486</v>
      </c>
      <c r="C230" t="s">
        <v>42</v>
      </c>
      <c r="D230" t="s">
        <v>16</v>
      </c>
      <c r="E230">
        <v>10</v>
      </c>
      <c r="F230" t="s">
        <v>487</v>
      </c>
      <c r="G230">
        <v>1600</v>
      </c>
      <c r="H230">
        <v>62</v>
      </c>
      <c r="I230">
        <v>3</v>
      </c>
      <c r="M230">
        <v>101</v>
      </c>
      <c r="N230" s="1">
        <v>115</v>
      </c>
      <c r="O230">
        <f t="shared" si="6"/>
        <v>115</v>
      </c>
      <c r="P230" t="str">
        <f t="shared" si="7"/>
        <v>Without Affectionate</v>
      </c>
    </row>
    <row r="231" spans="1:16" x14ac:dyDescent="0.35">
      <c r="A231" t="s">
        <v>488</v>
      </c>
      <c r="C231" t="s">
        <v>29</v>
      </c>
      <c r="D231" t="s">
        <v>30</v>
      </c>
      <c r="E231">
        <v>65</v>
      </c>
      <c r="F231" t="s">
        <v>489</v>
      </c>
      <c r="G231">
        <v>700</v>
      </c>
      <c r="I231">
        <v>6</v>
      </c>
      <c r="K231">
        <v>1</v>
      </c>
      <c r="N231" s="1">
        <v>309</v>
      </c>
      <c r="O231">
        <f t="shared" si="6"/>
        <v>309</v>
      </c>
      <c r="P231" t="str">
        <f t="shared" si="7"/>
        <v>With Affectionate</v>
      </c>
    </row>
    <row r="232" spans="1:16" x14ac:dyDescent="0.35">
      <c r="A232" t="s">
        <v>490</v>
      </c>
      <c r="B232" t="s">
        <v>491</v>
      </c>
      <c r="C232" t="s">
        <v>15</v>
      </c>
      <c r="D232" t="s">
        <v>26</v>
      </c>
      <c r="E232">
        <v>2</v>
      </c>
      <c r="F232" t="s">
        <v>492</v>
      </c>
      <c r="G232">
        <v>500</v>
      </c>
      <c r="I232">
        <v>2</v>
      </c>
      <c r="M232">
        <v>112</v>
      </c>
      <c r="N232" s="1">
        <v>250</v>
      </c>
      <c r="O232">
        <f t="shared" si="6"/>
        <v>250</v>
      </c>
      <c r="P232" t="str">
        <f t="shared" si="7"/>
        <v>Without Affectionate</v>
      </c>
    </row>
    <row r="233" spans="1:16" x14ac:dyDescent="0.35">
      <c r="A233" t="s">
        <v>493</v>
      </c>
      <c r="B233" t="s">
        <v>494</v>
      </c>
      <c r="C233" t="s">
        <v>66</v>
      </c>
      <c r="D233" t="s">
        <v>70</v>
      </c>
      <c r="E233">
        <v>28</v>
      </c>
      <c r="F233" t="s">
        <v>495</v>
      </c>
      <c r="G233">
        <v>500</v>
      </c>
      <c r="I233">
        <v>3</v>
      </c>
      <c r="M233">
        <v>131</v>
      </c>
      <c r="N233" s="1">
        <v>301</v>
      </c>
      <c r="O233">
        <f t="shared" si="6"/>
        <v>301</v>
      </c>
      <c r="P233" t="str">
        <f t="shared" si="7"/>
        <v>Without Affectionate</v>
      </c>
    </row>
    <row r="234" spans="1:16" x14ac:dyDescent="0.35">
      <c r="A234" t="s">
        <v>496</v>
      </c>
      <c r="C234" t="s">
        <v>19</v>
      </c>
      <c r="D234" t="s">
        <v>49</v>
      </c>
      <c r="E234">
        <v>21</v>
      </c>
      <c r="F234" t="s">
        <v>497</v>
      </c>
      <c r="G234">
        <v>1000</v>
      </c>
      <c r="I234">
        <v>3</v>
      </c>
      <c r="M234">
        <v>30</v>
      </c>
      <c r="N234" s="1">
        <v>256</v>
      </c>
      <c r="O234">
        <f t="shared" si="6"/>
        <v>256</v>
      </c>
      <c r="P234" t="str">
        <f t="shared" si="7"/>
        <v>With Affectionate</v>
      </c>
    </row>
    <row r="235" spans="1:16" x14ac:dyDescent="0.35">
      <c r="A235" t="s">
        <v>498</v>
      </c>
      <c r="C235" t="s">
        <v>19</v>
      </c>
      <c r="D235" t="s">
        <v>49</v>
      </c>
      <c r="E235">
        <v>29</v>
      </c>
      <c r="F235" t="s">
        <v>499</v>
      </c>
      <c r="G235">
        <v>1750</v>
      </c>
      <c r="H235">
        <v>21</v>
      </c>
      <c r="I235">
        <v>3</v>
      </c>
      <c r="M235">
        <v>34</v>
      </c>
      <c r="N235" s="1">
        <v>22</v>
      </c>
      <c r="O235">
        <f t="shared" si="6"/>
        <v>22</v>
      </c>
      <c r="P235" t="str">
        <f t="shared" si="7"/>
        <v>With Affectionate</v>
      </c>
    </row>
    <row r="236" spans="1:16" x14ac:dyDescent="0.35">
      <c r="A236" t="s">
        <v>500</v>
      </c>
      <c r="C236" t="s">
        <v>33</v>
      </c>
      <c r="D236" t="s">
        <v>33</v>
      </c>
      <c r="E236">
        <v>13</v>
      </c>
      <c r="F236" t="s">
        <v>184</v>
      </c>
      <c r="G236">
        <v>1100</v>
      </c>
      <c r="H236">
        <v>26</v>
      </c>
      <c r="I236">
        <v>4</v>
      </c>
      <c r="M236">
        <v>68</v>
      </c>
      <c r="N236" s="1">
        <v>21</v>
      </c>
      <c r="O236">
        <f t="shared" si="6"/>
        <v>21</v>
      </c>
      <c r="P236" t="str">
        <f t="shared" si="7"/>
        <v>Without Affectionate</v>
      </c>
    </row>
    <row r="237" spans="1:16" x14ac:dyDescent="0.35">
      <c r="A237" t="s">
        <v>501</v>
      </c>
      <c r="C237" t="s">
        <v>33</v>
      </c>
      <c r="D237" t="s">
        <v>33</v>
      </c>
      <c r="E237">
        <v>16</v>
      </c>
      <c r="F237" t="s">
        <v>184</v>
      </c>
      <c r="G237">
        <v>1100</v>
      </c>
      <c r="H237">
        <v>26</v>
      </c>
      <c r="I237">
        <v>4</v>
      </c>
      <c r="M237">
        <v>68</v>
      </c>
      <c r="N237" s="1">
        <v>14</v>
      </c>
      <c r="O237">
        <f t="shared" si="6"/>
        <v>14</v>
      </c>
      <c r="P237" t="str">
        <f t="shared" si="7"/>
        <v>With Affectionate</v>
      </c>
    </row>
    <row r="238" spans="1:16" x14ac:dyDescent="0.35">
      <c r="A238" t="s">
        <v>502</v>
      </c>
      <c r="C238" t="s">
        <v>33</v>
      </c>
      <c r="D238" t="s">
        <v>33</v>
      </c>
      <c r="E238">
        <v>12</v>
      </c>
      <c r="F238" t="s">
        <v>184</v>
      </c>
      <c r="G238">
        <v>1100</v>
      </c>
      <c r="H238">
        <v>26</v>
      </c>
      <c r="I238">
        <v>4</v>
      </c>
      <c r="M238">
        <v>68</v>
      </c>
      <c r="N238" s="1">
        <v>14</v>
      </c>
      <c r="O238">
        <f t="shared" si="6"/>
        <v>14</v>
      </c>
      <c r="P238" t="str">
        <f t="shared" si="7"/>
        <v>With Affectionate</v>
      </c>
    </row>
    <row r="239" spans="1:16" x14ac:dyDescent="0.35">
      <c r="A239" t="s">
        <v>503</v>
      </c>
      <c r="C239" t="s">
        <v>19</v>
      </c>
      <c r="D239" t="s">
        <v>49</v>
      </c>
      <c r="E239">
        <v>18</v>
      </c>
      <c r="F239" t="s">
        <v>504</v>
      </c>
      <c r="G239">
        <v>1300</v>
      </c>
      <c r="H239">
        <v>31</v>
      </c>
      <c r="I239">
        <v>4</v>
      </c>
      <c r="M239">
        <v>133</v>
      </c>
      <c r="N239" s="1">
        <v>21</v>
      </c>
      <c r="O239">
        <f t="shared" si="6"/>
        <v>21</v>
      </c>
      <c r="P239" t="str">
        <f t="shared" si="7"/>
        <v>With Affectionate</v>
      </c>
    </row>
    <row r="240" spans="1:16" x14ac:dyDescent="0.35">
      <c r="A240" t="s">
        <v>505</v>
      </c>
      <c r="C240" t="s">
        <v>26</v>
      </c>
      <c r="D240" t="s">
        <v>26</v>
      </c>
      <c r="E240">
        <v>9</v>
      </c>
      <c r="F240" t="s">
        <v>506</v>
      </c>
      <c r="G240">
        <v>1000</v>
      </c>
      <c r="H240">
        <v>53</v>
      </c>
      <c r="I240">
        <v>3</v>
      </c>
      <c r="M240">
        <v>109</v>
      </c>
      <c r="N240" s="1">
        <v>341</v>
      </c>
      <c r="O240">
        <f t="shared" si="6"/>
        <v>341</v>
      </c>
      <c r="P240" t="str">
        <f t="shared" si="7"/>
        <v>With Affectionate</v>
      </c>
    </row>
    <row r="241" spans="1:16" x14ac:dyDescent="0.35">
      <c r="A241" t="s">
        <v>507</v>
      </c>
      <c r="B241" t="s">
        <v>508</v>
      </c>
      <c r="C241" t="s">
        <v>26</v>
      </c>
      <c r="D241" t="s">
        <v>26</v>
      </c>
      <c r="E241">
        <v>8</v>
      </c>
      <c r="F241" t="s">
        <v>479</v>
      </c>
      <c r="G241">
        <v>1050</v>
      </c>
      <c r="H241">
        <v>47</v>
      </c>
      <c r="I241">
        <v>3</v>
      </c>
      <c r="M241">
        <v>42</v>
      </c>
      <c r="N241" s="1">
        <v>205</v>
      </c>
      <c r="O241">
        <f t="shared" si="6"/>
        <v>205</v>
      </c>
      <c r="P241" t="str">
        <f t="shared" si="7"/>
        <v>Without Affectionate</v>
      </c>
    </row>
    <row r="242" spans="1:16" x14ac:dyDescent="0.35">
      <c r="A242" t="s">
        <v>509</v>
      </c>
      <c r="B242" t="s">
        <v>510</v>
      </c>
      <c r="C242" t="s">
        <v>26</v>
      </c>
      <c r="D242" t="s">
        <v>26</v>
      </c>
      <c r="E242">
        <v>18</v>
      </c>
      <c r="F242" t="s">
        <v>511</v>
      </c>
      <c r="G242">
        <v>900</v>
      </c>
      <c r="H242">
        <v>40</v>
      </c>
      <c r="I242">
        <v>4</v>
      </c>
      <c r="M242">
        <v>49</v>
      </c>
      <c r="N242" s="1">
        <v>76</v>
      </c>
      <c r="O242">
        <f t="shared" si="6"/>
        <v>76</v>
      </c>
      <c r="P242" t="str">
        <f t="shared" si="7"/>
        <v>With Affectionate</v>
      </c>
    </row>
    <row r="243" spans="1:16" x14ac:dyDescent="0.35">
      <c r="A243" t="s">
        <v>512</v>
      </c>
      <c r="C243" t="s">
        <v>66</v>
      </c>
      <c r="D243" t="s">
        <v>20</v>
      </c>
      <c r="E243">
        <v>16</v>
      </c>
      <c r="F243" t="s">
        <v>513</v>
      </c>
      <c r="G243">
        <v>1000</v>
      </c>
      <c r="H243">
        <v>51</v>
      </c>
      <c r="I243">
        <v>3</v>
      </c>
      <c r="M243">
        <v>61</v>
      </c>
      <c r="N243" s="1">
        <v>371</v>
      </c>
      <c r="O243">
        <f t="shared" si="6"/>
        <v>371</v>
      </c>
      <c r="P243" t="str">
        <f t="shared" si="7"/>
        <v>With Affectionate</v>
      </c>
    </row>
    <row r="244" spans="1:16" x14ac:dyDescent="0.35">
      <c r="A244" t="s">
        <v>514</v>
      </c>
      <c r="C244" t="s">
        <v>33</v>
      </c>
      <c r="D244" t="s">
        <v>33</v>
      </c>
      <c r="E244">
        <v>35</v>
      </c>
      <c r="F244" t="s">
        <v>251</v>
      </c>
      <c r="G244">
        <v>1400</v>
      </c>
      <c r="H244">
        <v>3</v>
      </c>
      <c r="I244">
        <v>6</v>
      </c>
      <c r="M244">
        <v>2</v>
      </c>
      <c r="N244" s="1">
        <v>38</v>
      </c>
      <c r="O244">
        <f t="shared" si="6"/>
        <v>38</v>
      </c>
      <c r="P244" t="str">
        <f t="shared" si="7"/>
        <v>With Affectionate</v>
      </c>
    </row>
    <row r="245" spans="1:16" x14ac:dyDescent="0.35">
      <c r="A245" t="s">
        <v>515</v>
      </c>
      <c r="B245" t="s">
        <v>516</v>
      </c>
      <c r="C245" t="s">
        <v>26</v>
      </c>
      <c r="D245" t="s">
        <v>26</v>
      </c>
      <c r="E245">
        <v>7</v>
      </c>
      <c r="F245" t="s">
        <v>517</v>
      </c>
      <c r="G245">
        <v>900</v>
      </c>
      <c r="H245">
        <v>51</v>
      </c>
      <c r="I245">
        <v>3</v>
      </c>
      <c r="M245">
        <v>99</v>
      </c>
      <c r="N245" s="1">
        <v>76</v>
      </c>
      <c r="O245">
        <f t="shared" si="6"/>
        <v>76</v>
      </c>
      <c r="P245" t="str">
        <f t="shared" si="7"/>
        <v>Without Affectionate</v>
      </c>
    </row>
    <row r="246" spans="1:16" x14ac:dyDescent="0.35">
      <c r="A246" t="s">
        <v>518</v>
      </c>
      <c r="C246" t="s">
        <v>19</v>
      </c>
      <c r="D246" t="s">
        <v>49</v>
      </c>
      <c r="E246">
        <v>25</v>
      </c>
      <c r="F246" t="s">
        <v>519</v>
      </c>
      <c r="G246">
        <v>700</v>
      </c>
      <c r="H246">
        <v>46</v>
      </c>
      <c r="I246">
        <v>5</v>
      </c>
      <c r="M246">
        <v>65</v>
      </c>
      <c r="N246" s="1">
        <v>21</v>
      </c>
      <c r="O246">
        <f t="shared" si="6"/>
        <v>21</v>
      </c>
      <c r="P246" t="str">
        <f t="shared" si="7"/>
        <v>Without Affectionate</v>
      </c>
    </row>
    <row r="247" spans="1:16" x14ac:dyDescent="0.35">
      <c r="A247" t="s">
        <v>520</v>
      </c>
      <c r="C247" t="s">
        <v>26</v>
      </c>
      <c r="D247" t="s">
        <v>26</v>
      </c>
      <c r="E247">
        <v>7</v>
      </c>
      <c r="F247" t="s">
        <v>517</v>
      </c>
      <c r="G247">
        <v>900</v>
      </c>
      <c r="H247">
        <v>51</v>
      </c>
      <c r="I247">
        <v>3</v>
      </c>
      <c r="M247">
        <v>99</v>
      </c>
      <c r="N247" s="1">
        <v>26</v>
      </c>
      <c r="O247">
        <f t="shared" si="6"/>
        <v>26</v>
      </c>
      <c r="P247" t="str">
        <f t="shared" si="7"/>
        <v>Without Affectionate</v>
      </c>
    </row>
    <row r="248" spans="1:16" x14ac:dyDescent="0.35">
      <c r="A248" t="s">
        <v>521</v>
      </c>
      <c r="B248" t="s">
        <v>522</v>
      </c>
      <c r="C248" t="s">
        <v>42</v>
      </c>
      <c r="D248" t="s">
        <v>20</v>
      </c>
      <c r="E248">
        <v>11</v>
      </c>
      <c r="F248" t="s">
        <v>523</v>
      </c>
      <c r="G248">
        <v>700</v>
      </c>
      <c r="I248">
        <v>3</v>
      </c>
      <c r="M248">
        <v>143</v>
      </c>
      <c r="N248" s="1">
        <v>90</v>
      </c>
      <c r="O248">
        <f t="shared" si="6"/>
        <v>90</v>
      </c>
      <c r="P248" t="str">
        <f t="shared" si="7"/>
        <v>Without Affectionate</v>
      </c>
    </row>
    <row r="249" spans="1:16" x14ac:dyDescent="0.35">
      <c r="A249" t="s">
        <v>524</v>
      </c>
      <c r="C249" t="s">
        <v>19</v>
      </c>
      <c r="D249" t="s">
        <v>49</v>
      </c>
      <c r="E249">
        <v>32</v>
      </c>
      <c r="F249" t="s">
        <v>97</v>
      </c>
      <c r="G249">
        <v>1500</v>
      </c>
      <c r="H249">
        <v>7</v>
      </c>
      <c r="I249">
        <v>3</v>
      </c>
      <c r="M249">
        <v>1</v>
      </c>
      <c r="N249" s="1">
        <v>123</v>
      </c>
      <c r="O249">
        <f t="shared" si="6"/>
        <v>123</v>
      </c>
      <c r="P249" t="str">
        <f t="shared" si="7"/>
        <v>Without Affectionate</v>
      </c>
    </row>
    <row r="250" spans="1:16" x14ac:dyDescent="0.35">
      <c r="A250" t="s">
        <v>525</v>
      </c>
      <c r="B250" t="s">
        <v>526</v>
      </c>
      <c r="C250" t="s">
        <v>15</v>
      </c>
      <c r="D250" t="s">
        <v>16</v>
      </c>
      <c r="E250">
        <v>3</v>
      </c>
      <c r="F250" t="s">
        <v>527</v>
      </c>
      <c r="G250">
        <v>800</v>
      </c>
      <c r="H250">
        <v>27</v>
      </c>
      <c r="I250">
        <v>3</v>
      </c>
      <c r="M250">
        <v>9</v>
      </c>
      <c r="N250" s="1">
        <v>77</v>
      </c>
      <c r="O250">
        <f t="shared" si="6"/>
        <v>77</v>
      </c>
      <c r="P250" t="str">
        <f t="shared" si="7"/>
        <v>With Affectionate</v>
      </c>
    </row>
    <row r="251" spans="1:16" x14ac:dyDescent="0.35">
      <c r="A251" t="s">
        <v>528</v>
      </c>
      <c r="N251" s="1">
        <v>95</v>
      </c>
      <c r="O251">
        <f t="shared" si="6"/>
        <v>95</v>
      </c>
      <c r="P251" t="str">
        <f t="shared" si="7"/>
        <v>Without Affectionate</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CB09A-4A81-43A8-8B69-9A62C94166B0}">
  <dimension ref="A1:N83"/>
  <sheetViews>
    <sheetView topLeftCell="A76" zoomScaleNormal="100" workbookViewId="0">
      <selection activeCell="A76" sqref="A76"/>
    </sheetView>
  </sheetViews>
  <sheetFormatPr defaultRowHeight="15.5" x14ac:dyDescent="0.35"/>
  <cols>
    <col min="1" max="1" width="41.08203125" bestFit="1" customWidth="1"/>
    <col min="2" max="2" width="22.25" customWidth="1"/>
    <col min="9" max="9" width="15.5" bestFit="1" customWidth="1"/>
    <col min="13" max="13" width="15.5" bestFit="1" customWidth="1"/>
  </cols>
  <sheetData>
    <row r="1" spans="1:2" x14ac:dyDescent="0.35">
      <c r="A1" t="s">
        <v>670</v>
      </c>
    </row>
    <row r="2" spans="1:2" x14ac:dyDescent="0.35">
      <c r="A2" t="s">
        <v>664</v>
      </c>
    </row>
    <row r="3" spans="1:2" x14ac:dyDescent="0.35">
      <c r="A3" t="s">
        <v>662</v>
      </c>
      <c r="B3">
        <f>COUNTIF('Cat Breed'!$D:$D, "Bald")</f>
        <v>2</v>
      </c>
    </row>
    <row r="4" spans="1:2" x14ac:dyDescent="0.35">
      <c r="A4" t="s">
        <v>663</v>
      </c>
      <c r="B4">
        <f>COUNTIF('Cat Breed'!$D:$D, "Long")</f>
        <v>20</v>
      </c>
    </row>
    <row r="5" spans="1:2" x14ac:dyDescent="0.35">
      <c r="A5" t="s">
        <v>684</v>
      </c>
      <c r="B5">
        <f>COUNTIF('Cat Breed'!$D:$D, "Medium")</f>
        <v>14</v>
      </c>
    </row>
    <row r="6" spans="1:2" x14ac:dyDescent="0.35">
      <c r="A6" t="s">
        <v>685</v>
      </c>
      <c r="B6">
        <f>COUNTIF('Cat Breed'!$D:$D, "Short")</f>
        <v>30</v>
      </c>
    </row>
    <row r="8" spans="1:2" x14ac:dyDescent="0.35">
      <c r="A8" t="s">
        <v>682</v>
      </c>
    </row>
    <row r="9" spans="1:2" x14ac:dyDescent="0.35">
      <c r="A9" t="s">
        <v>660</v>
      </c>
      <c r="B9">
        <f>COUNTIF('Dog Breed'!$C:C, "herding")</f>
        <v>37</v>
      </c>
    </row>
    <row r="10" spans="1:2" x14ac:dyDescent="0.35">
      <c r="A10" t="s">
        <v>66</v>
      </c>
      <c r="B10">
        <f>COUNTIF('Dog Breed'!$C:C, "hound")</f>
        <v>34</v>
      </c>
    </row>
    <row r="11" spans="1:2" x14ac:dyDescent="0.35">
      <c r="A11" t="s">
        <v>661</v>
      </c>
      <c r="B11">
        <f>COUNTIF('Dog Breed'!$C:C, "non sporting")</f>
        <v>27</v>
      </c>
    </row>
    <row r="12" spans="1:2" x14ac:dyDescent="0.35">
      <c r="A12" t="s">
        <v>686</v>
      </c>
      <c r="B12">
        <f>COUNTIF('Dog Breed'!$C:C, "southern")</f>
        <v>1</v>
      </c>
    </row>
    <row r="13" spans="1:2" x14ac:dyDescent="0.35">
      <c r="A13" t="s">
        <v>687</v>
      </c>
      <c r="B13">
        <f>COUNTIF('Dog Breed'!$C:C, "sporting")</f>
        <v>40</v>
      </c>
    </row>
    <row r="14" spans="1:2" x14ac:dyDescent="0.35">
      <c r="A14" t="s">
        <v>688</v>
      </c>
      <c r="B14">
        <f>COUNTIF('Dog Breed'!$C:C, "terrier")</f>
        <v>36</v>
      </c>
    </row>
    <row r="15" spans="1:2" x14ac:dyDescent="0.35">
      <c r="A15" t="s">
        <v>689</v>
      </c>
      <c r="B15">
        <f>COUNTIF('Dog Breed'!$C:C, "toy")</f>
        <v>21</v>
      </c>
    </row>
    <row r="16" spans="1:2" x14ac:dyDescent="0.35">
      <c r="A16" t="s">
        <v>690</v>
      </c>
      <c r="B16">
        <f>COUNTIF('Dog Breed'!$C:C, "working")</f>
        <v>49</v>
      </c>
    </row>
    <row r="18" spans="1:10" x14ac:dyDescent="0.35">
      <c r="A18" s="3" t="s">
        <v>665</v>
      </c>
      <c r="J18" t="s">
        <v>669</v>
      </c>
    </row>
    <row r="19" spans="1:10" x14ac:dyDescent="0.35">
      <c r="A19" t="str" cm="1">
        <f t="array" ref="A19:I28">_xlfn.TAKE(_xlfn._xlws.SORT(_xlfn._xlws.FILTER('[1]Dataset-cat_breed_characteristi'!A:I, '[1]Dataset-cat_breed_characteristi'!I:I&lt;&gt;""), 9,1),10)</f>
        <v>Exotic Shorthair</v>
      </c>
      <c r="B19">
        <v>0</v>
      </c>
      <c r="C19" t="str">
        <v>Lap</v>
      </c>
      <c r="D19" t="str">
        <v>Short</v>
      </c>
      <c r="E19">
        <v>5</v>
      </c>
      <c r="F19" t="str">
        <v>Affectionate, Sweet, Loyal, Quiet, Peaceful</v>
      </c>
      <c r="G19">
        <v>1750</v>
      </c>
      <c r="H19">
        <v>2</v>
      </c>
      <c r="I19">
        <v>1</v>
      </c>
      <c r="J19">
        <f>ROUND(AVERAGE(G19:G28), 2)</f>
        <v>1270</v>
      </c>
    </row>
    <row r="20" spans="1:10" x14ac:dyDescent="0.35">
      <c r="A20" t="str">
        <v>Persian</v>
      </c>
      <c r="B20">
        <v>0</v>
      </c>
      <c r="C20" t="str">
        <v>Lap</v>
      </c>
      <c r="D20" t="str">
        <v>Long</v>
      </c>
      <c r="E20">
        <v>6</v>
      </c>
      <c r="F20" t="str">
        <v>Affectionate, Loyal, Sedate, Quiet</v>
      </c>
      <c r="G20">
        <v>1250</v>
      </c>
      <c r="H20">
        <v>3</v>
      </c>
      <c r="I20">
        <v>2</v>
      </c>
      <c r="J20">
        <f t="shared" ref="J20:J28" si="0">ROUND(AVERAGE(G20:G29), 2)</f>
        <v>1216.67</v>
      </c>
    </row>
    <row r="21" spans="1:10" x14ac:dyDescent="0.35">
      <c r="A21" t="str">
        <v>Maine Coon</v>
      </c>
      <c r="B21">
        <v>0</v>
      </c>
      <c r="C21" t="str">
        <v>Lap</v>
      </c>
      <c r="D21" t="str">
        <v>Long</v>
      </c>
      <c r="E21">
        <v>7</v>
      </c>
      <c r="F21" t="str">
        <v>Adaptable, Intelligent, Loving, Gentle, Independent</v>
      </c>
      <c r="G21">
        <v>1600</v>
      </c>
      <c r="H21">
        <v>1</v>
      </c>
      <c r="I21">
        <v>3</v>
      </c>
      <c r="J21">
        <f>ROUND(AVERAGE(G21:G30), 2)</f>
        <v>1212.5</v>
      </c>
    </row>
    <row r="22" spans="1:10" x14ac:dyDescent="0.35">
      <c r="A22" t="str">
        <v>Ragdoll</v>
      </c>
      <c r="B22">
        <v>0</v>
      </c>
      <c r="C22" t="str">
        <v>Lap</v>
      </c>
      <c r="D22" t="str">
        <v>Long</v>
      </c>
      <c r="E22">
        <v>7</v>
      </c>
      <c r="F22" t="str">
        <v>Affectioante, Friendly, Gentle, Quiet, Easygoing</v>
      </c>
      <c r="G22">
        <v>1000</v>
      </c>
      <c r="H22">
        <v>7</v>
      </c>
      <c r="I22">
        <v>4</v>
      </c>
      <c r="J22">
        <f>ROUND(AVERAGE(G22:G31), 2)</f>
        <v>1157.1400000000001</v>
      </c>
    </row>
    <row r="23" spans="1:10" x14ac:dyDescent="0.35">
      <c r="A23" t="str">
        <v>British Shorthair</v>
      </c>
      <c r="B23">
        <v>0</v>
      </c>
      <c r="C23" t="str">
        <v>Lap</v>
      </c>
      <c r="D23" t="str">
        <v>Short</v>
      </c>
      <c r="E23">
        <v>7</v>
      </c>
      <c r="F23" t="str">
        <v>Affectionate, Easygoing, Gentle, Loyal, Patient, Calm</v>
      </c>
      <c r="G23">
        <v>1750</v>
      </c>
      <c r="H23">
        <v>6</v>
      </c>
      <c r="I23">
        <v>5</v>
      </c>
      <c r="J23">
        <f t="shared" si="0"/>
        <v>1157.1400000000001</v>
      </c>
    </row>
    <row r="24" spans="1:10" x14ac:dyDescent="0.35">
      <c r="A24" t="str">
        <v>American Shorthair</v>
      </c>
      <c r="B24">
        <v>0</v>
      </c>
      <c r="C24" t="str">
        <v>Lap</v>
      </c>
      <c r="D24" t="str">
        <v>Short</v>
      </c>
      <c r="E24">
        <v>6</v>
      </c>
      <c r="F24" t="str">
        <v>Active, Curious, Easygoing, Playful, Calm</v>
      </c>
      <c r="G24">
        <v>900</v>
      </c>
      <c r="H24">
        <v>5</v>
      </c>
      <c r="I24">
        <v>6</v>
      </c>
      <c r="J24">
        <f t="shared" si="0"/>
        <v>992.86</v>
      </c>
    </row>
    <row r="25" spans="1:10" x14ac:dyDescent="0.35">
      <c r="A25" t="str">
        <v>Abyssinian</v>
      </c>
      <c r="B25">
        <v>0</v>
      </c>
      <c r="C25" t="str">
        <v>Lap</v>
      </c>
      <c r="D25" t="str">
        <v>Short</v>
      </c>
      <c r="E25">
        <v>4</v>
      </c>
      <c r="F25" t="str">
        <v>Active, Energetic, Independent, Intelligent, Gentle</v>
      </c>
      <c r="G25">
        <v>1050</v>
      </c>
      <c r="H25">
        <v>0</v>
      </c>
      <c r="I25">
        <v>7</v>
      </c>
      <c r="J25">
        <f t="shared" si="0"/>
        <v>935.71</v>
      </c>
    </row>
    <row r="26" spans="1:10" x14ac:dyDescent="0.35">
      <c r="A26" t="str">
        <v>Canadian Hairless</v>
      </c>
      <c r="B26">
        <v>0</v>
      </c>
      <c r="C26" t="str">
        <v>Lap</v>
      </c>
      <c r="D26" t="str">
        <v>Bald</v>
      </c>
      <c r="E26">
        <v>5</v>
      </c>
      <c r="F26" t="str">
        <v>Loyal, Inquisitive, Friendly, Quiet, Gentle</v>
      </c>
      <c r="G26">
        <v>1450</v>
      </c>
      <c r="H26">
        <v>0</v>
      </c>
      <c r="I26">
        <v>8</v>
      </c>
      <c r="J26">
        <f t="shared" si="0"/>
        <v>871.43</v>
      </c>
    </row>
    <row r="27" spans="1:10" x14ac:dyDescent="0.35">
      <c r="A27" t="str">
        <v>Sphynx (hairless cat)</v>
      </c>
      <c r="B27" t="str">
        <v>Sphynx</v>
      </c>
      <c r="C27" t="str">
        <v>Lap</v>
      </c>
      <c r="D27" t="str">
        <v>Bald</v>
      </c>
      <c r="E27">
        <v>5</v>
      </c>
      <c r="F27" t="str">
        <v>Loyal, Inquisitive, Friendly, Quiet, Gentle</v>
      </c>
      <c r="G27">
        <v>1450</v>
      </c>
      <c r="H27">
        <v>0</v>
      </c>
      <c r="I27">
        <v>8</v>
      </c>
      <c r="J27">
        <f t="shared" si="0"/>
        <v>735.71</v>
      </c>
    </row>
    <row r="28" spans="1:10" x14ac:dyDescent="0.35">
      <c r="A28" t="str">
        <v>Siamese</v>
      </c>
      <c r="B28">
        <v>0</v>
      </c>
      <c r="C28" t="str">
        <v>Lap</v>
      </c>
      <c r="D28" t="str">
        <v>Short</v>
      </c>
      <c r="E28">
        <v>6</v>
      </c>
      <c r="F28" t="str">
        <v>Active, Agile, Clever, Sociable, Loving, Energetic</v>
      </c>
      <c r="G28">
        <v>500</v>
      </c>
      <c r="H28">
        <v>0</v>
      </c>
      <c r="I28">
        <v>9</v>
      </c>
      <c r="J28">
        <f t="shared" si="0"/>
        <v>642.86</v>
      </c>
    </row>
    <row r="30" spans="1:10" x14ac:dyDescent="0.35">
      <c r="A30" t="s">
        <v>666</v>
      </c>
    </row>
    <row r="31" spans="1:10" x14ac:dyDescent="0.35">
      <c r="A31" t="str" cm="1">
        <f t="array" ref="A31:I40">_xlfn.TAKE(_xlfn._xlws.SORT(_xlfn._xlws.FILTER('[1]Dataset-cat_breed_characteristi'!A:I, '[1]Dataset-cat_breed_characteristi'!I:I&lt;&gt;""), 9,-1),10)</f>
        <v>BreedName</v>
      </c>
      <c r="B31" t="str">
        <v>AltBreedName</v>
      </c>
      <c r="C31" t="str">
        <v>LapCat</v>
      </c>
      <c r="D31" t="str">
        <v>Fur</v>
      </c>
      <c r="E31" t="str">
        <v>MaleWtKg</v>
      </c>
      <c r="F31" t="str">
        <v>Temperment</v>
      </c>
      <c r="G31" t="str">
        <v>AvgKittenPrice</v>
      </c>
      <c r="H31" t="str">
        <v>MalaysiaPopularity</v>
      </c>
      <c r="I31" t="str">
        <v>PopularityUS2017</v>
      </c>
      <c r="J31" t="s">
        <v>671</v>
      </c>
    </row>
    <row r="32" spans="1:10" x14ac:dyDescent="0.35">
      <c r="A32" t="str">
        <v>American Wirehair</v>
      </c>
      <c r="B32">
        <v>0</v>
      </c>
      <c r="C32" t="str">
        <v>Lap</v>
      </c>
      <c r="D32" t="str">
        <v>Medium</v>
      </c>
      <c r="E32">
        <v>6</v>
      </c>
      <c r="F32" t="str">
        <v>Affectionate, Curious, Gentle, Intelligent, Interactive, Lively, Loyal, Playful, Sensible, Social</v>
      </c>
      <c r="G32">
        <v>1000</v>
      </c>
      <c r="H32">
        <v>0</v>
      </c>
      <c r="I32">
        <v>41</v>
      </c>
      <c r="J32">
        <f>ROUND(AVERAGE(G32:G40), 2)</f>
        <v>711.11</v>
      </c>
    </row>
    <row r="33" spans="1:14" x14ac:dyDescent="0.35">
      <c r="A33" t="str">
        <v>Korat</v>
      </c>
      <c r="B33">
        <v>0</v>
      </c>
      <c r="C33" t="str">
        <v>Lap</v>
      </c>
      <c r="D33" t="str">
        <v>Long</v>
      </c>
      <c r="E33">
        <v>4</v>
      </c>
      <c r="F33" t="str">
        <v>Affectionate, Friendly, Gentle, Intelligent, Playful, Quiet</v>
      </c>
      <c r="G33">
        <v>600</v>
      </c>
      <c r="H33">
        <v>0</v>
      </c>
      <c r="I33">
        <v>40</v>
      </c>
      <c r="J33">
        <f t="shared" ref="J33:J40" si="1">ROUND(AVERAGE(G33:G41), 2)</f>
        <v>675</v>
      </c>
    </row>
    <row r="34" spans="1:14" x14ac:dyDescent="0.35">
      <c r="A34" t="str">
        <v>LaPerm</v>
      </c>
      <c r="B34">
        <v>0</v>
      </c>
      <c r="C34" t="str">
        <v>Lap</v>
      </c>
      <c r="D34" t="str">
        <v>Long</v>
      </c>
      <c r="E34">
        <v>4</v>
      </c>
      <c r="F34" t="str">
        <v>Intelligent, Clever, Active, Genlte</v>
      </c>
      <c r="G34">
        <v>500</v>
      </c>
      <c r="H34">
        <v>0</v>
      </c>
      <c r="I34">
        <v>39</v>
      </c>
      <c r="J34">
        <f t="shared" si="1"/>
        <v>685.71</v>
      </c>
    </row>
    <row r="35" spans="1:14" x14ac:dyDescent="0.35">
      <c r="A35" t="str">
        <v>Burmilla</v>
      </c>
      <c r="B35">
        <v>0</v>
      </c>
      <c r="C35" t="str">
        <v>Lap</v>
      </c>
      <c r="D35" t="str">
        <v>Long</v>
      </c>
      <c r="E35">
        <v>5</v>
      </c>
      <c r="F35" t="str">
        <v>Easygoing, Friendly, Intelligent, Lively, Playful, Social</v>
      </c>
      <c r="G35">
        <v>600</v>
      </c>
      <c r="H35">
        <v>0</v>
      </c>
      <c r="I35">
        <v>38</v>
      </c>
      <c r="J35">
        <f t="shared" si="1"/>
        <v>828.57</v>
      </c>
    </row>
    <row r="36" spans="1:14" x14ac:dyDescent="0.35">
      <c r="A36" t="str">
        <v>Turkish Van</v>
      </c>
      <c r="B36">
        <v>0</v>
      </c>
      <c r="C36" t="str">
        <v>Non Lap</v>
      </c>
      <c r="D36" t="str">
        <v>Long</v>
      </c>
      <c r="E36">
        <v>6</v>
      </c>
      <c r="F36" t="str">
        <v>Agile, Intelligent, Loyal, Playful, Energetic</v>
      </c>
      <c r="G36">
        <v>500</v>
      </c>
      <c r="H36">
        <v>0</v>
      </c>
      <c r="I36">
        <v>37</v>
      </c>
      <c r="J36">
        <f t="shared" si="1"/>
        <v>957.14</v>
      </c>
    </row>
    <row r="37" spans="1:14" x14ac:dyDescent="0.35">
      <c r="A37" t="str">
        <v>Bobtail</v>
      </c>
      <c r="B37">
        <v>0</v>
      </c>
      <c r="C37" t="str">
        <v>Lap</v>
      </c>
      <c r="D37" t="str">
        <v>Medium</v>
      </c>
      <c r="E37">
        <v>6</v>
      </c>
      <c r="F37" t="str">
        <v>Intelligent, Interactive, Lively, Playful, Sensitive</v>
      </c>
      <c r="G37">
        <v>800</v>
      </c>
      <c r="H37">
        <v>0</v>
      </c>
      <c r="I37">
        <v>36</v>
      </c>
      <c r="J37">
        <f t="shared" si="1"/>
        <v>1100</v>
      </c>
    </row>
    <row r="38" spans="1:14" x14ac:dyDescent="0.35">
      <c r="A38" t="str">
        <v>Havana</v>
      </c>
      <c r="B38">
        <v>0</v>
      </c>
      <c r="C38" t="str">
        <v>Lap</v>
      </c>
      <c r="D38" t="str">
        <v>Medium</v>
      </c>
      <c r="E38">
        <v>4</v>
      </c>
      <c r="F38" t="str">
        <v>Affectionate, Curious, Demanding, Friendly, Intelligent, Playful</v>
      </c>
      <c r="G38">
        <v>900</v>
      </c>
      <c r="H38">
        <v>0</v>
      </c>
      <c r="I38">
        <v>35</v>
      </c>
      <c r="J38">
        <f t="shared" si="1"/>
        <v>1200</v>
      </c>
    </row>
    <row r="39" spans="1:14" x14ac:dyDescent="0.35">
      <c r="A39" t="str">
        <v>Bombay</v>
      </c>
      <c r="B39">
        <v>0</v>
      </c>
      <c r="C39" t="str">
        <v>Lap</v>
      </c>
      <c r="D39" t="str">
        <v>Short</v>
      </c>
      <c r="E39">
        <v>4</v>
      </c>
      <c r="F39" t="str">
        <v>Affectionate, Dependent, Gentle, Intelligent, Playful</v>
      </c>
      <c r="G39">
        <v>500</v>
      </c>
      <c r="H39">
        <v>0</v>
      </c>
      <c r="I39">
        <v>34</v>
      </c>
      <c r="J39">
        <f t="shared" si="1"/>
        <v>1271.43</v>
      </c>
    </row>
    <row r="40" spans="1:14" x14ac:dyDescent="0.35">
      <c r="A40" t="str">
        <v>Ragamuffin</v>
      </c>
      <c r="B40">
        <v>0</v>
      </c>
      <c r="C40" t="str">
        <v>Lap</v>
      </c>
      <c r="D40" t="str">
        <v>Medium</v>
      </c>
      <c r="E40">
        <v>7</v>
      </c>
      <c r="F40" t="str">
        <v>Affectionate, Friendly, Gentle, Calm</v>
      </c>
      <c r="G40">
        <v>1000</v>
      </c>
      <c r="H40">
        <v>0</v>
      </c>
      <c r="I40">
        <v>32</v>
      </c>
      <c r="J40">
        <f t="shared" si="1"/>
        <v>1400</v>
      </c>
    </row>
    <row r="42" spans="1:14" x14ac:dyDescent="0.35">
      <c r="A42" t="s">
        <v>667</v>
      </c>
      <c r="N42" t="s">
        <v>672</v>
      </c>
    </row>
    <row r="43" spans="1:14" x14ac:dyDescent="0.35">
      <c r="A43" t="str" cm="1">
        <f t="array" ref="A43:M52">_xlfn.TAKE(_xlfn._xlws.SORT(_xlfn._xlws.FILTER('[2]Dataset-dog_breed_characteristi'!A:M, '[2]Dataset-dog_breed_characteristi'!M:M&lt;&gt;""), 13,1),10)</f>
        <v>Black Labrador Retriever</v>
      </c>
      <c r="B43">
        <v>0</v>
      </c>
      <c r="C43" t="str">
        <v>Sporting</v>
      </c>
      <c r="D43" t="str">
        <v>Gun</v>
      </c>
      <c r="E43">
        <v>32</v>
      </c>
      <c r="F43" t="str">
        <v>Affectionate, Alert, Cheerful, Energetic, Friendly, Gentle, Intelligent, Loving, Loyal, Outgoing, Playful, Responsive, Social</v>
      </c>
      <c r="G43">
        <v>1500</v>
      </c>
      <c r="H43">
        <v>7</v>
      </c>
      <c r="I43">
        <v>3</v>
      </c>
      <c r="J43">
        <v>0</v>
      </c>
      <c r="K43">
        <v>0</v>
      </c>
      <c r="L43">
        <v>0</v>
      </c>
      <c r="M43">
        <v>1</v>
      </c>
      <c r="N43">
        <f>ROUND(AVERAGE(G43:G52), 2)</f>
        <v>1620</v>
      </c>
    </row>
    <row r="44" spans="1:14" x14ac:dyDescent="0.35">
      <c r="A44" t="str">
        <v>Chocolate Labrador Retriever</v>
      </c>
      <c r="B44">
        <v>0</v>
      </c>
      <c r="C44" t="str">
        <v>Sporting</v>
      </c>
      <c r="D44" t="str">
        <v>Gun</v>
      </c>
      <c r="E44">
        <v>32</v>
      </c>
      <c r="F44" t="str">
        <v>Affectionate, Alert, Cheerful, Energetic, Friendly, Gentle, Intelligent, Loving, Loyal, Outgoing, Playful, Responsive, Social</v>
      </c>
      <c r="G44">
        <v>1500</v>
      </c>
      <c r="H44">
        <v>7</v>
      </c>
      <c r="I44">
        <v>3</v>
      </c>
      <c r="J44">
        <v>0</v>
      </c>
      <c r="K44">
        <v>0</v>
      </c>
      <c r="L44">
        <v>0</v>
      </c>
      <c r="M44">
        <v>1</v>
      </c>
      <c r="N44">
        <f t="shared" ref="N44:N52" si="2">ROUND(AVERAGE(G44:G53), 2)</f>
        <v>1633.33</v>
      </c>
    </row>
    <row r="45" spans="1:14" x14ac:dyDescent="0.35">
      <c r="A45" t="str">
        <v>Labrador Retriever</v>
      </c>
      <c r="B45">
        <v>0</v>
      </c>
      <c r="C45" t="str">
        <v>Sporting</v>
      </c>
      <c r="D45" t="str">
        <v>Gun</v>
      </c>
      <c r="E45">
        <v>32</v>
      </c>
      <c r="F45" t="str">
        <v>Affectionate, Alert, Cheerful, Energetic, Friendly, Gentle, Intelligent, Loving, Loyal, Outgoing, Playful, Responsive, Social</v>
      </c>
      <c r="G45">
        <v>1500</v>
      </c>
      <c r="H45">
        <v>7</v>
      </c>
      <c r="I45">
        <v>3</v>
      </c>
      <c r="J45">
        <v>0</v>
      </c>
      <c r="K45">
        <v>0</v>
      </c>
      <c r="L45">
        <v>0</v>
      </c>
      <c r="M45">
        <v>1</v>
      </c>
      <c r="N45">
        <f t="shared" si="2"/>
        <v>1650</v>
      </c>
    </row>
    <row r="46" spans="1:14" x14ac:dyDescent="0.35">
      <c r="A46" t="str">
        <v>Yellow Labrador Retriever</v>
      </c>
      <c r="B46">
        <v>0</v>
      </c>
      <c r="C46" t="str">
        <v>Sporting</v>
      </c>
      <c r="D46" t="str">
        <v>Gun</v>
      </c>
      <c r="E46">
        <v>32</v>
      </c>
      <c r="F46" t="str">
        <v>Affectionate, Alert, Cheerful, Energetic, Friendly, Gentle, Intelligent, Loving, Loyal, Outgoing, Playful, Responsive, Social</v>
      </c>
      <c r="G46">
        <v>1500</v>
      </c>
      <c r="H46">
        <v>7</v>
      </c>
      <c r="I46">
        <v>3</v>
      </c>
      <c r="J46">
        <v>0</v>
      </c>
      <c r="K46">
        <v>0</v>
      </c>
      <c r="L46">
        <v>0</v>
      </c>
      <c r="M46">
        <v>1</v>
      </c>
      <c r="N46">
        <f t="shared" si="2"/>
        <v>1671.43</v>
      </c>
    </row>
    <row r="47" spans="1:14" x14ac:dyDescent="0.35">
      <c r="A47" t="str">
        <v>German Shepherd Dog</v>
      </c>
      <c r="B47" t="str">
        <v>German Shepherd</v>
      </c>
      <c r="C47" t="str">
        <v>Herding</v>
      </c>
      <c r="D47" t="str">
        <v>Herding</v>
      </c>
      <c r="E47">
        <v>35</v>
      </c>
      <c r="F47" t="str">
        <v>Alert, Confident, Courageous, Curious, Intelligent, Loyal, Obedient, Watchful</v>
      </c>
      <c r="G47">
        <v>1400</v>
      </c>
      <c r="H47">
        <v>3</v>
      </c>
      <c r="I47">
        <v>6</v>
      </c>
      <c r="J47">
        <v>1</v>
      </c>
      <c r="K47">
        <v>0</v>
      </c>
      <c r="L47">
        <v>8</v>
      </c>
      <c r="M47">
        <v>2</v>
      </c>
      <c r="N47">
        <f t="shared" si="2"/>
        <v>1528.57</v>
      </c>
    </row>
    <row r="48" spans="1:14" x14ac:dyDescent="0.35">
      <c r="A48" t="str">
        <v>Shepherd</v>
      </c>
      <c r="B48">
        <v>0</v>
      </c>
      <c r="C48" t="str">
        <v>Herding</v>
      </c>
      <c r="D48" t="str">
        <v>Herding</v>
      </c>
      <c r="E48">
        <v>35</v>
      </c>
      <c r="F48" t="str">
        <v>Alert, Confident, Courageous, Curious, Intelligent, Loyal, Obedient, Watchful</v>
      </c>
      <c r="G48">
        <v>1400</v>
      </c>
      <c r="H48">
        <v>3</v>
      </c>
      <c r="I48">
        <v>6</v>
      </c>
      <c r="J48">
        <v>0</v>
      </c>
      <c r="K48">
        <v>0</v>
      </c>
      <c r="L48">
        <v>0</v>
      </c>
      <c r="M48">
        <v>2</v>
      </c>
      <c r="N48">
        <f t="shared" si="2"/>
        <v>1457.14</v>
      </c>
    </row>
    <row r="49" spans="1:14" x14ac:dyDescent="0.35">
      <c r="A49" t="str">
        <v>White German Shepherd</v>
      </c>
      <c r="B49">
        <v>0</v>
      </c>
      <c r="C49" t="str">
        <v>Herding</v>
      </c>
      <c r="D49" t="str">
        <v>Herding</v>
      </c>
      <c r="E49">
        <v>35</v>
      </c>
      <c r="F49" t="str">
        <v>Alert, Confident, Courageous, Curious, Intelligent, Loyal, Obedient, Watchful</v>
      </c>
      <c r="G49">
        <v>1400</v>
      </c>
      <c r="H49">
        <v>3</v>
      </c>
      <c r="I49">
        <v>6</v>
      </c>
      <c r="J49">
        <v>0</v>
      </c>
      <c r="K49">
        <v>0</v>
      </c>
      <c r="L49">
        <v>0</v>
      </c>
      <c r="M49">
        <v>2</v>
      </c>
      <c r="N49">
        <f t="shared" si="2"/>
        <v>1328.57</v>
      </c>
    </row>
    <row r="50" spans="1:14" x14ac:dyDescent="0.35">
      <c r="A50" t="str">
        <v>Golden Retriever</v>
      </c>
      <c r="B50">
        <v>0</v>
      </c>
      <c r="C50" t="str">
        <v>Sporting</v>
      </c>
      <c r="D50" t="str">
        <v>Gun</v>
      </c>
      <c r="E50">
        <v>32</v>
      </c>
      <c r="F50" t="str">
        <v>Confident, Friendly, Intelligent, Kind, Reliable, Trustworthy</v>
      </c>
      <c r="G50">
        <v>1500</v>
      </c>
      <c r="H50">
        <v>4</v>
      </c>
      <c r="I50">
        <v>3</v>
      </c>
      <c r="J50">
        <v>0</v>
      </c>
      <c r="K50">
        <v>0</v>
      </c>
      <c r="L50">
        <v>6</v>
      </c>
      <c r="M50">
        <v>3</v>
      </c>
      <c r="N50">
        <f t="shared" si="2"/>
        <v>1200</v>
      </c>
    </row>
    <row r="51" spans="1:14" x14ac:dyDescent="0.35">
      <c r="A51" t="str">
        <v>Retriever</v>
      </c>
      <c r="B51">
        <v>0</v>
      </c>
      <c r="C51" t="str">
        <v>Sporting</v>
      </c>
      <c r="D51" t="str">
        <v>Gun</v>
      </c>
      <c r="E51">
        <v>32</v>
      </c>
      <c r="F51" t="str">
        <v>Confident, Friendly, Intelligent, Kind, Reliable, Trustworthy</v>
      </c>
      <c r="G51">
        <v>1500</v>
      </c>
      <c r="H51">
        <v>4</v>
      </c>
      <c r="I51">
        <v>3</v>
      </c>
      <c r="J51">
        <v>0</v>
      </c>
      <c r="K51">
        <v>0</v>
      </c>
      <c r="L51">
        <v>0</v>
      </c>
      <c r="M51">
        <v>3</v>
      </c>
      <c r="N51">
        <f t="shared" si="2"/>
        <v>1064.29</v>
      </c>
    </row>
    <row r="52" spans="1:14" x14ac:dyDescent="0.35">
      <c r="A52" t="str">
        <v>French Bulldog</v>
      </c>
      <c r="B52">
        <v>0</v>
      </c>
      <c r="C52" t="str">
        <v>Non Sporting</v>
      </c>
      <c r="D52" t="str">
        <v>Companion</v>
      </c>
      <c r="E52">
        <v>12</v>
      </c>
      <c r="F52" t="str">
        <v>Affectionate, Playful, Alert, Athletic, Bright, Easygoing, Keen, Lively, Patient</v>
      </c>
      <c r="G52">
        <v>3000</v>
      </c>
      <c r="H52">
        <v>58</v>
      </c>
      <c r="I52">
        <v>3</v>
      </c>
      <c r="J52">
        <v>0</v>
      </c>
      <c r="K52">
        <v>0</v>
      </c>
      <c r="L52">
        <v>0</v>
      </c>
      <c r="M52">
        <v>4</v>
      </c>
      <c r="N52">
        <f t="shared" si="2"/>
        <v>978.57</v>
      </c>
    </row>
    <row r="54" spans="1:14" x14ac:dyDescent="0.35">
      <c r="A54" t="s">
        <v>668</v>
      </c>
    </row>
    <row r="55" spans="1:14" x14ac:dyDescent="0.35">
      <c r="A55" t="str" cm="1">
        <f t="array" ref="A55:M64">_xlfn.TAKE(_xlfn._xlws.SORT(_xlfn._xlws.FILTER('[2]Dataset-dog_breed_characteristi'!A:M, '[2]Dataset-dog_breed_characteristi'!M:M&lt;&gt;""), 13,-1), 10)</f>
        <v>BreedName</v>
      </c>
      <c r="B55" t="str">
        <v>AltBreedName</v>
      </c>
      <c r="C55" t="str">
        <v>Group1</v>
      </c>
      <c r="D55" t="str">
        <v>Group2</v>
      </c>
      <c r="E55" t="str">
        <v>MaleWtKg</v>
      </c>
      <c r="F55" t="str">
        <v>Temperment</v>
      </c>
      <c r="G55" t="str">
        <v>AvgPupPrice</v>
      </c>
      <c r="H55" t="str">
        <v>Intelligence</v>
      </c>
      <c r="I55" t="str">
        <v>Watchdog</v>
      </c>
      <c r="J55" t="str">
        <v>MalaysiaGuardedDog</v>
      </c>
      <c r="K55" t="str">
        <v>MalaysiaProhibitedDog</v>
      </c>
      <c r="L55" t="str">
        <v>MalaysiaPopularity</v>
      </c>
      <c r="M55" t="str">
        <v>PopularityUS2017</v>
      </c>
      <c r="N55" t="s">
        <v>673</v>
      </c>
    </row>
    <row r="56" spans="1:14" x14ac:dyDescent="0.35">
      <c r="A56" t="str">
        <v>Norwegian Lundehund</v>
      </c>
      <c r="B56">
        <v>0</v>
      </c>
      <c r="C56" t="str">
        <v>Non Sporting</v>
      </c>
      <c r="D56" t="str">
        <v>Northern</v>
      </c>
      <c r="E56">
        <v>8</v>
      </c>
      <c r="F56" t="str">
        <v>Alert, Energetic, Loyal, Protective</v>
      </c>
      <c r="G56">
        <v>500</v>
      </c>
      <c r="H56">
        <v>0</v>
      </c>
      <c r="I56">
        <v>4</v>
      </c>
      <c r="J56">
        <v>0</v>
      </c>
      <c r="K56">
        <v>0</v>
      </c>
      <c r="L56">
        <v>0</v>
      </c>
      <c r="M56">
        <v>190</v>
      </c>
      <c r="N56">
        <f>ROUND(AVERAGE(G55:G64), 2)</f>
        <v>733.33</v>
      </c>
    </row>
    <row r="57" spans="1:14" x14ac:dyDescent="0.35">
      <c r="A57" t="str">
        <v>Sloughi</v>
      </c>
      <c r="B57">
        <v>0</v>
      </c>
      <c r="C57" t="str">
        <v>Hound</v>
      </c>
      <c r="D57" t="str">
        <v>Sight</v>
      </c>
      <c r="E57">
        <v>28</v>
      </c>
      <c r="F57" t="str">
        <v>Alert, Faithful, Intelligent, Sensitive, Independent, Playful, Sweet</v>
      </c>
      <c r="G57">
        <v>900</v>
      </c>
      <c r="H57">
        <v>0</v>
      </c>
      <c r="I57">
        <v>5</v>
      </c>
      <c r="J57">
        <v>0</v>
      </c>
      <c r="K57">
        <v>0</v>
      </c>
      <c r="L57">
        <v>0</v>
      </c>
      <c r="M57">
        <v>188</v>
      </c>
      <c r="N57">
        <f>ROUND(AVERAGE(G56:G65), 2)</f>
        <v>733.33</v>
      </c>
    </row>
    <row r="58" spans="1:14" x14ac:dyDescent="0.35">
      <c r="A58" t="str">
        <v>Foxhound</v>
      </c>
      <c r="B58">
        <v>0</v>
      </c>
      <c r="C58" t="str">
        <v>Hound</v>
      </c>
      <c r="D58" t="str">
        <v>Scenthound</v>
      </c>
      <c r="E58">
        <v>32</v>
      </c>
      <c r="F58" t="str">
        <v>Independent, Intelligent, Kind, Loving, Loyal, Sweet-tempered</v>
      </c>
      <c r="G58">
        <v>500</v>
      </c>
      <c r="H58">
        <v>46</v>
      </c>
      <c r="I58">
        <v>2</v>
      </c>
      <c r="J58">
        <v>0</v>
      </c>
      <c r="K58">
        <v>0</v>
      </c>
      <c r="L58">
        <v>0</v>
      </c>
      <c r="M58">
        <v>187</v>
      </c>
      <c r="N58">
        <f>ROUND(AVERAGE(G57:G66), 2)</f>
        <v>762.5</v>
      </c>
    </row>
    <row r="59" spans="1:14" x14ac:dyDescent="0.35">
      <c r="A59" t="str">
        <v>Hound</v>
      </c>
      <c r="B59">
        <v>0</v>
      </c>
      <c r="C59" t="str">
        <v>Hound</v>
      </c>
      <c r="D59" t="str">
        <v>Scenthound</v>
      </c>
      <c r="E59">
        <v>32</v>
      </c>
      <c r="F59" t="str">
        <v>Independent, Intelligent, Kind, Loving, Loyal, Sweet-tempered</v>
      </c>
      <c r="G59">
        <v>500</v>
      </c>
      <c r="H59">
        <v>46</v>
      </c>
      <c r="I59">
        <v>2</v>
      </c>
      <c r="J59">
        <v>0</v>
      </c>
      <c r="K59">
        <v>0</v>
      </c>
      <c r="L59">
        <v>0</v>
      </c>
      <c r="M59">
        <v>187</v>
      </c>
      <c r="N59">
        <f>ROUND(AVERAGE(G58:G67), 2)</f>
        <v>742.86</v>
      </c>
    </row>
    <row r="60" spans="1:14" x14ac:dyDescent="0.35">
      <c r="A60" t="str">
        <v>Otterhound</v>
      </c>
      <c r="B60">
        <v>0</v>
      </c>
      <c r="C60" t="str">
        <v>Hound</v>
      </c>
      <c r="D60" t="str">
        <v>Scenthound</v>
      </c>
      <c r="E60">
        <v>41</v>
      </c>
      <c r="F60" t="str">
        <v>Amiable, Boisterous, Even-tempered</v>
      </c>
      <c r="G60">
        <v>550</v>
      </c>
      <c r="H60">
        <v>46</v>
      </c>
      <c r="I60">
        <v>2</v>
      </c>
      <c r="J60">
        <v>0</v>
      </c>
      <c r="K60">
        <v>0</v>
      </c>
      <c r="L60">
        <v>0</v>
      </c>
      <c r="M60">
        <v>186</v>
      </c>
      <c r="N60">
        <f>ROUND(AVERAGE(G59:G67), 2)</f>
        <v>783.33</v>
      </c>
    </row>
    <row r="61" spans="1:14" x14ac:dyDescent="0.35">
      <c r="A61" t="str">
        <v>Cirneco dell'Etna</v>
      </c>
      <c r="B61">
        <v>0</v>
      </c>
      <c r="C61" t="str">
        <v>Hound</v>
      </c>
      <c r="D61" t="str">
        <v>Sight</v>
      </c>
      <c r="E61">
        <v>11</v>
      </c>
      <c r="F61" t="str">
        <v>Affectionate, Gentle, Lively</v>
      </c>
      <c r="G61">
        <v>900</v>
      </c>
      <c r="H61">
        <v>0</v>
      </c>
      <c r="I61">
        <v>3</v>
      </c>
      <c r="J61">
        <v>0</v>
      </c>
      <c r="K61">
        <v>0</v>
      </c>
      <c r="L61">
        <v>0</v>
      </c>
      <c r="M61">
        <v>184</v>
      </c>
      <c r="N61">
        <f>ROUND(AVERAGE(G60:G67), 2)</f>
        <v>840</v>
      </c>
    </row>
    <row r="62" spans="1:14" x14ac:dyDescent="0.35">
      <c r="A62" t="str">
        <v>Harrier</v>
      </c>
      <c r="B62">
        <v>0</v>
      </c>
      <c r="C62" t="str">
        <v>Hound</v>
      </c>
      <c r="D62" t="str">
        <v>Scenthound</v>
      </c>
      <c r="E62">
        <v>22</v>
      </c>
      <c r="F62" t="str">
        <v>Active, Cheerful, Friendly, Outgoing, Sweet-tempered, Tolerant</v>
      </c>
      <c r="G62">
        <v>350</v>
      </c>
      <c r="H62">
        <v>0</v>
      </c>
      <c r="I62">
        <v>2</v>
      </c>
      <c r="J62">
        <v>0</v>
      </c>
      <c r="K62">
        <v>0</v>
      </c>
      <c r="L62">
        <v>0</v>
      </c>
      <c r="M62">
        <v>183</v>
      </c>
      <c r="N62">
        <f>ROUND(AVERAGE(G61:G67), 2)</f>
        <v>912.5</v>
      </c>
    </row>
    <row r="63" spans="1:14" x14ac:dyDescent="0.35">
      <c r="A63" t="str">
        <v>Dandi Dinmont Terrier</v>
      </c>
      <c r="B63" t="str">
        <v>Dandie Dinmont</v>
      </c>
      <c r="C63" t="str">
        <v>Terrier</v>
      </c>
      <c r="D63" t="str">
        <v>Terrier</v>
      </c>
      <c r="E63">
        <v>10</v>
      </c>
      <c r="F63" t="str">
        <v>Affectionate, Companionable, Determined, Fun-loving, Independent, Lively, Intelligent</v>
      </c>
      <c r="G63">
        <v>1500</v>
      </c>
      <c r="H63">
        <v>62</v>
      </c>
      <c r="I63">
        <v>3</v>
      </c>
      <c r="J63">
        <v>0</v>
      </c>
      <c r="K63">
        <v>0</v>
      </c>
      <c r="L63">
        <v>0</v>
      </c>
      <c r="M63">
        <v>182</v>
      </c>
      <c r="N63">
        <f>ROUND(AVERAGE(G62:G67), 2)</f>
        <v>916.67</v>
      </c>
    </row>
    <row r="64" spans="1:14" x14ac:dyDescent="0.35">
      <c r="A64" t="str">
        <v>Chinook</v>
      </c>
      <c r="B64">
        <v>0</v>
      </c>
      <c r="C64" t="str">
        <v>Working</v>
      </c>
      <c r="D64" t="str">
        <v>Northern</v>
      </c>
      <c r="E64">
        <v>32</v>
      </c>
      <c r="F64" t="str">
        <v>Alert, Calm, Dignified, Friendly, Responsive</v>
      </c>
      <c r="G64">
        <v>900</v>
      </c>
      <c r="H64">
        <v>0</v>
      </c>
      <c r="I64">
        <v>4</v>
      </c>
      <c r="J64">
        <v>0</v>
      </c>
      <c r="K64">
        <v>0</v>
      </c>
      <c r="L64">
        <v>0</v>
      </c>
      <c r="M64">
        <v>179</v>
      </c>
      <c r="N64">
        <f>ROUND(AVERAGE(G63:G71), 2)</f>
        <v>1200</v>
      </c>
    </row>
    <row r="66" spans="1:2" x14ac:dyDescent="0.35">
      <c r="A66" t="s">
        <v>674</v>
      </c>
    </row>
    <row r="67" spans="1:2" x14ac:dyDescent="0.35">
      <c r="A67" t="str" cm="1">
        <f t="array" ref="A67">_xlfn.LET(
  _xlpm.temp, 'Cat Breed'!F2:F67,
  _xlpm.uniq, _xlfn.UNIQUE(_xlpm.temp),
  _xlpm.counts, COUNTIF(_xlpm.temp, _xlpm.uniq),
  _xlfn._xlws.FILTER(_xlpm.uniq, _xlpm.counts=MAX(_xlpm.counts))
)</f>
        <v>Active, Curious, Easygoing, Playful, Calm</v>
      </c>
      <c r="B67" t="s">
        <v>675</v>
      </c>
    </row>
    <row r="68" spans="1:2" x14ac:dyDescent="0.35">
      <c r="A68" t="str" cm="1">
        <f t="array" ref="A68:A71">_xlfn.LET(
  _xlpm.temp, 'Dog Breed'!F2:F250,
  _xlpm.uniq, _xlfn.UNIQUE(_xlpm.temp),
  _xlpm.counts, COUNTIF(_xlpm.temp, _xlpm.uniq),
  _xlfn._xlws.FILTER(_xlpm.uniq, _xlpm.counts=MAX(_xlpm.counts))
)</f>
        <v>Alert, Energetic, Friendly, Independent, Intelligent, Protective</v>
      </c>
      <c r="B68" t="s">
        <v>676</v>
      </c>
    </row>
    <row r="69" spans="1:2" x14ac:dyDescent="0.35">
      <c r="A69" t="str">
        <v>Affectionate, Alert, Cheerful, Energetic, Friendly, Gentle, Intelligent, Loving, Loyal, Outgoing, Playful, Responsive, Social</v>
      </c>
    </row>
    <row r="70" spans="1:2" x14ac:dyDescent="0.35">
      <c r="A70" t="str">
        <v>Active, Affectionate, Alert, Companionable, Devoted, Gentle, Intelligent</v>
      </c>
    </row>
    <row r="71" spans="1:2" x14ac:dyDescent="0.35">
      <c r="A71" t="str">
        <v>Active, Alert, Faithful, Instinctual, Intelligent, Trainable</v>
      </c>
    </row>
    <row r="73" spans="1:2" x14ac:dyDescent="0.35">
      <c r="A73" t="s">
        <v>680</v>
      </c>
    </row>
    <row r="74" spans="1:2" x14ac:dyDescent="0.35">
      <c r="A74">
        <f>COUNTIF('Dog Breed'!F:F, "*Affectionate*")</f>
        <v>71</v>
      </c>
      <c r="B74" t="s">
        <v>677</v>
      </c>
    </row>
    <row r="75" spans="1:2" x14ac:dyDescent="0.35">
      <c r="A75">
        <f>COUNTIF('Cat Breed'!F:F, "*Affectionate*")</f>
        <v>26</v>
      </c>
      <c r="B75" t="s">
        <v>678</v>
      </c>
    </row>
    <row r="77" spans="1:2" x14ac:dyDescent="0.35">
      <c r="A77" s="2" t="s">
        <v>679</v>
      </c>
    </row>
    <row r="78" spans="1:2" x14ac:dyDescent="0.35">
      <c r="A78">
        <f>ROUND(AVERAGE('Dog Breed'!E:E), 2)</f>
        <v>23.94</v>
      </c>
      <c r="B78" t="s">
        <v>677</v>
      </c>
    </row>
    <row r="79" spans="1:2" x14ac:dyDescent="0.35">
      <c r="A79">
        <f>ROUND(AVERAGE('Cat Breed'!E:E), 2)</f>
        <v>5.1100000000000003</v>
      </c>
      <c r="B79" t="s">
        <v>678</v>
      </c>
    </row>
    <row r="81" spans="1:2" x14ac:dyDescent="0.35">
      <c r="A81" s="2" t="s">
        <v>681</v>
      </c>
    </row>
    <row r="82" spans="1:2" x14ac:dyDescent="0.35">
      <c r="A82">
        <f>ROUND(AVERAGE('Dog Breed'!I:I), 2)</f>
        <v>3.82</v>
      </c>
      <c r="B82" t="s">
        <v>677</v>
      </c>
    </row>
    <row r="83" spans="1:2" x14ac:dyDescent="0.35">
      <c r="A83">
        <f>ROUND(AVERAGE('Cat Breed'!I:I), 2)</f>
        <v>19.88</v>
      </c>
      <c r="B83" t="s">
        <v>678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29624-ABCF-4728-8550-AC536AA0CA06}">
  <dimension ref="A3:E24"/>
  <sheetViews>
    <sheetView tabSelected="1" topLeftCell="G7" workbookViewId="0">
      <selection activeCell="B6" sqref="A3:B6"/>
    </sheetView>
  </sheetViews>
  <sheetFormatPr defaultRowHeight="15.5" x14ac:dyDescent="0.35"/>
  <cols>
    <col min="1" max="1" width="12.25" bestFit="1" customWidth="1"/>
    <col min="2" max="2" width="18.4140625" bestFit="1" customWidth="1"/>
    <col min="3" max="3" width="8.58203125" customWidth="1"/>
    <col min="4" max="4" width="18.33203125" bestFit="1" customWidth="1"/>
    <col min="5" max="5" width="18.4140625" bestFit="1" customWidth="1"/>
    <col min="7" max="7" width="8.58203125" customWidth="1"/>
    <col min="8" max="9" width="19.4140625" bestFit="1" customWidth="1"/>
  </cols>
  <sheetData>
    <row r="3" spans="1:5" x14ac:dyDescent="0.35">
      <c r="A3" s="4" t="s">
        <v>691</v>
      </c>
      <c r="B3" t="s">
        <v>694</v>
      </c>
    </row>
    <row r="4" spans="1:5" x14ac:dyDescent="0.35">
      <c r="A4" s="5" t="s">
        <v>566</v>
      </c>
      <c r="B4">
        <v>2</v>
      </c>
    </row>
    <row r="5" spans="1:5" x14ac:dyDescent="0.35">
      <c r="A5" s="5" t="s">
        <v>547</v>
      </c>
      <c r="B5">
        <v>20</v>
      </c>
      <c r="D5" s="4" t="s">
        <v>691</v>
      </c>
      <c r="E5" t="s">
        <v>694</v>
      </c>
    </row>
    <row r="6" spans="1:5" x14ac:dyDescent="0.35">
      <c r="A6" s="5" t="s">
        <v>537</v>
      </c>
      <c r="B6">
        <v>14</v>
      </c>
      <c r="D6" s="5" t="s">
        <v>696</v>
      </c>
      <c r="E6">
        <v>26</v>
      </c>
    </row>
    <row r="7" spans="1:5" x14ac:dyDescent="0.35">
      <c r="A7" s="5" t="s">
        <v>534</v>
      </c>
      <c r="B7">
        <v>30</v>
      </c>
      <c r="D7" s="5" t="s">
        <v>697</v>
      </c>
      <c r="E7">
        <v>41</v>
      </c>
    </row>
    <row r="8" spans="1:5" x14ac:dyDescent="0.35">
      <c r="A8" s="5" t="s">
        <v>692</v>
      </c>
      <c r="B8">
        <v>1</v>
      </c>
      <c r="D8" s="5" t="s">
        <v>693</v>
      </c>
      <c r="E8">
        <v>67</v>
      </c>
    </row>
    <row r="9" spans="1:5" x14ac:dyDescent="0.35">
      <c r="A9" s="5" t="s">
        <v>693</v>
      </c>
      <c r="B9">
        <v>67</v>
      </c>
    </row>
    <row r="12" spans="1:5" x14ac:dyDescent="0.35">
      <c r="A12" s="4" t="s">
        <v>691</v>
      </c>
      <c r="B12" t="s">
        <v>694</v>
      </c>
      <c r="D12" s="4" t="s">
        <v>691</v>
      </c>
      <c r="E12" t="s">
        <v>694</v>
      </c>
    </row>
    <row r="13" spans="1:5" x14ac:dyDescent="0.35">
      <c r="A13" s="5" t="s">
        <v>16</v>
      </c>
      <c r="B13">
        <v>35</v>
      </c>
      <c r="D13" s="5" t="s">
        <v>696</v>
      </c>
      <c r="E13">
        <v>71</v>
      </c>
    </row>
    <row r="14" spans="1:5" x14ac:dyDescent="0.35">
      <c r="A14" s="5" t="s">
        <v>30</v>
      </c>
      <c r="B14">
        <v>34</v>
      </c>
      <c r="D14" s="5" t="s">
        <v>697</v>
      </c>
      <c r="E14">
        <v>179</v>
      </c>
    </row>
    <row r="15" spans="1:5" x14ac:dyDescent="0.35">
      <c r="A15" s="5" t="s">
        <v>49</v>
      </c>
      <c r="B15">
        <v>40</v>
      </c>
      <c r="D15" s="5" t="s">
        <v>693</v>
      </c>
      <c r="E15">
        <v>250</v>
      </c>
    </row>
    <row r="16" spans="1:5" x14ac:dyDescent="0.35">
      <c r="A16" s="5" t="s">
        <v>373</v>
      </c>
      <c r="B16">
        <v>1</v>
      </c>
    </row>
    <row r="17" spans="1:2" x14ac:dyDescent="0.35">
      <c r="A17" s="5" t="s">
        <v>33</v>
      </c>
      <c r="B17">
        <v>36</v>
      </c>
    </row>
    <row r="18" spans="1:2" x14ac:dyDescent="0.35">
      <c r="A18" s="5" t="s">
        <v>37</v>
      </c>
      <c r="B18">
        <v>23</v>
      </c>
    </row>
    <row r="19" spans="1:2" x14ac:dyDescent="0.35">
      <c r="A19" s="5" t="s">
        <v>70</v>
      </c>
      <c r="B19">
        <v>19</v>
      </c>
    </row>
    <row r="20" spans="1:2" x14ac:dyDescent="0.35">
      <c r="A20" s="5" t="s">
        <v>20</v>
      </c>
      <c r="B20">
        <v>19</v>
      </c>
    </row>
    <row r="21" spans="1:2" x14ac:dyDescent="0.35">
      <c r="A21" s="5" t="s">
        <v>357</v>
      </c>
      <c r="B21">
        <v>1</v>
      </c>
    </row>
    <row r="22" spans="1:2" x14ac:dyDescent="0.35">
      <c r="A22" s="5" t="s">
        <v>26</v>
      </c>
      <c r="B22">
        <v>38</v>
      </c>
    </row>
    <row r="23" spans="1:2" x14ac:dyDescent="0.35">
      <c r="A23" s="5" t="s">
        <v>692</v>
      </c>
      <c r="B23">
        <v>4</v>
      </c>
    </row>
    <row r="24" spans="1:2" x14ac:dyDescent="0.35">
      <c r="A24" s="5" t="s">
        <v>693</v>
      </c>
      <c r="B24">
        <v>250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8"/>
  <sheetViews>
    <sheetView topLeftCell="C1" workbookViewId="0">
      <selection activeCell="L2" sqref="L2"/>
    </sheetView>
  </sheetViews>
  <sheetFormatPr defaultColWidth="10.6640625" defaultRowHeight="15.5" x14ac:dyDescent="0.35"/>
  <cols>
    <col min="1" max="1" width="12.5" customWidth="1"/>
    <col min="2" max="2" width="14.9140625" customWidth="1"/>
    <col min="5" max="5" width="11.33203125" customWidth="1"/>
    <col min="6" max="6" width="13.5" customWidth="1"/>
    <col min="7" max="7" width="14.83203125" customWidth="1"/>
    <col min="8" max="8" width="18.75" customWidth="1"/>
    <col min="9" max="9" width="17.5" customWidth="1"/>
    <col min="10" max="10" width="10.83203125" style="1"/>
    <col min="11" max="11" width="14.4140625" customWidth="1"/>
    <col min="12" max="12" width="18.33203125" bestFit="1" customWidth="1"/>
    <col min="13" max="13" width="17.58203125" bestFit="1" customWidth="1"/>
  </cols>
  <sheetData>
    <row r="1" spans="1:13" x14ac:dyDescent="0.35">
      <c r="A1" t="s">
        <v>0</v>
      </c>
      <c r="B1" t="s">
        <v>1</v>
      </c>
      <c r="C1" t="s">
        <v>529</v>
      </c>
      <c r="D1" t="s">
        <v>530</v>
      </c>
      <c r="E1" t="s">
        <v>4</v>
      </c>
      <c r="F1" t="s">
        <v>5</v>
      </c>
      <c r="G1" t="s">
        <v>531</v>
      </c>
      <c r="H1" t="s">
        <v>11</v>
      </c>
      <c r="I1" t="s">
        <v>12</v>
      </c>
      <c r="J1" s="1" t="s">
        <v>13</v>
      </c>
      <c r="K1" t="s">
        <v>658</v>
      </c>
      <c r="L1" t="s">
        <v>698</v>
      </c>
      <c r="M1" t="s">
        <v>695</v>
      </c>
    </row>
    <row r="2" spans="1:13" x14ac:dyDescent="0.35">
      <c r="A2" t="s">
        <v>532</v>
      </c>
      <c r="C2" t="s">
        <v>533</v>
      </c>
      <c r="D2" t="s">
        <v>534</v>
      </c>
      <c r="E2">
        <v>4</v>
      </c>
      <c r="F2" t="s">
        <v>535</v>
      </c>
      <c r="G2">
        <v>1050</v>
      </c>
      <c r="I2">
        <v>7</v>
      </c>
      <c r="J2" s="1">
        <v>79</v>
      </c>
      <c r="K2">
        <f>AVERAGEIF($A:$A, A2, $J:$J)</f>
        <v>79</v>
      </c>
      <c r="L2" t="str">
        <f>IF(ISNUMBER(SEARCH("Affectionate",F1)),"With Affectionate","Without Affectionate")</f>
        <v>Without Affectionate</v>
      </c>
    </row>
    <row r="3" spans="1:13" x14ac:dyDescent="0.35">
      <c r="A3" t="s">
        <v>536</v>
      </c>
      <c r="C3" t="s">
        <v>533</v>
      </c>
      <c r="D3" t="s">
        <v>537</v>
      </c>
      <c r="E3">
        <v>4</v>
      </c>
      <c r="F3" t="s">
        <v>538</v>
      </c>
      <c r="G3">
        <v>1400</v>
      </c>
      <c r="I3">
        <v>26</v>
      </c>
      <c r="J3" s="1">
        <v>93</v>
      </c>
      <c r="K3">
        <f t="shared" ref="K3:K66" si="0">AVERAGEIF($A:$A, A3, $J:$J)</f>
        <v>93</v>
      </c>
      <c r="L3" t="str">
        <f t="shared" ref="L3:L66" si="1">IF(ISNUMBER(SEARCH("Affectionate",F2)),"With Affectionate","Without Affectionate")</f>
        <v>Without Affectionate</v>
      </c>
    </row>
    <row r="4" spans="1:13" x14ac:dyDescent="0.35">
      <c r="A4" t="s">
        <v>539</v>
      </c>
      <c r="C4" t="s">
        <v>533</v>
      </c>
      <c r="D4" t="s">
        <v>534</v>
      </c>
      <c r="E4">
        <v>6</v>
      </c>
      <c r="F4" t="s">
        <v>540</v>
      </c>
      <c r="G4">
        <v>900</v>
      </c>
      <c r="H4">
        <v>5</v>
      </c>
      <c r="I4">
        <v>6</v>
      </c>
      <c r="J4" s="1">
        <v>121</v>
      </c>
      <c r="K4">
        <f t="shared" si="0"/>
        <v>121</v>
      </c>
      <c r="L4" t="str">
        <f t="shared" si="1"/>
        <v>With Affectionate</v>
      </c>
    </row>
    <row r="5" spans="1:13" x14ac:dyDescent="0.35">
      <c r="A5" t="s">
        <v>541</v>
      </c>
      <c r="C5" t="s">
        <v>533</v>
      </c>
      <c r="D5" t="s">
        <v>537</v>
      </c>
      <c r="E5">
        <v>6</v>
      </c>
      <c r="F5" t="s">
        <v>542</v>
      </c>
      <c r="G5">
        <v>1000</v>
      </c>
      <c r="I5">
        <v>41</v>
      </c>
      <c r="J5" s="1">
        <v>11</v>
      </c>
      <c r="K5">
        <f t="shared" si="0"/>
        <v>11</v>
      </c>
      <c r="L5" t="str">
        <f t="shared" si="1"/>
        <v>Without Affectionate</v>
      </c>
    </row>
    <row r="6" spans="1:13" x14ac:dyDescent="0.35">
      <c r="A6" t="s">
        <v>543</v>
      </c>
      <c r="C6" t="s">
        <v>533</v>
      </c>
      <c r="D6" t="s">
        <v>534</v>
      </c>
      <c r="E6">
        <v>6</v>
      </c>
      <c r="F6" t="s">
        <v>544</v>
      </c>
      <c r="G6">
        <v>1600</v>
      </c>
      <c r="J6" s="1">
        <v>15</v>
      </c>
      <c r="K6">
        <f t="shared" si="0"/>
        <v>15</v>
      </c>
      <c r="L6" t="str">
        <f t="shared" si="1"/>
        <v>With Affectionate</v>
      </c>
    </row>
    <row r="7" spans="1:13" x14ac:dyDescent="0.35">
      <c r="A7" t="s">
        <v>545</v>
      </c>
      <c r="C7" t="s">
        <v>546</v>
      </c>
      <c r="D7" t="s">
        <v>547</v>
      </c>
      <c r="E7">
        <v>4</v>
      </c>
      <c r="F7" t="s">
        <v>548</v>
      </c>
      <c r="G7">
        <v>1300</v>
      </c>
      <c r="I7">
        <v>31</v>
      </c>
      <c r="J7" s="1">
        <v>5</v>
      </c>
      <c r="K7">
        <f t="shared" si="0"/>
        <v>5</v>
      </c>
      <c r="L7" t="str">
        <f t="shared" si="1"/>
        <v>Without Affectionate</v>
      </c>
      <c r="M7" t="s">
        <v>683</v>
      </c>
    </row>
    <row r="8" spans="1:13" x14ac:dyDescent="0.35">
      <c r="A8" t="s">
        <v>549</v>
      </c>
      <c r="C8" t="s">
        <v>546</v>
      </c>
      <c r="D8" t="s">
        <v>537</v>
      </c>
      <c r="E8">
        <v>6</v>
      </c>
      <c r="F8" t="s">
        <v>550</v>
      </c>
      <c r="G8">
        <v>1250</v>
      </c>
      <c r="H8">
        <v>8</v>
      </c>
      <c r="J8" s="1">
        <v>10</v>
      </c>
      <c r="K8">
        <f t="shared" si="0"/>
        <v>10</v>
      </c>
      <c r="L8" t="str">
        <f t="shared" si="1"/>
        <v>With Affectionate</v>
      </c>
    </row>
    <row r="9" spans="1:13" x14ac:dyDescent="0.35">
      <c r="A9" t="s">
        <v>551</v>
      </c>
      <c r="C9" t="s">
        <v>533</v>
      </c>
      <c r="D9" t="s">
        <v>547</v>
      </c>
      <c r="E9">
        <v>5</v>
      </c>
      <c r="F9" t="s">
        <v>552</v>
      </c>
      <c r="G9">
        <v>850</v>
      </c>
      <c r="I9">
        <v>15</v>
      </c>
      <c r="J9" s="1">
        <v>93</v>
      </c>
      <c r="K9">
        <f t="shared" si="0"/>
        <v>93</v>
      </c>
      <c r="L9" t="str">
        <f t="shared" si="1"/>
        <v>With Affectionate</v>
      </c>
    </row>
    <row r="10" spans="1:13" x14ac:dyDescent="0.35">
      <c r="A10" t="s">
        <v>553</v>
      </c>
      <c r="C10" t="s">
        <v>533</v>
      </c>
      <c r="D10" t="s">
        <v>537</v>
      </c>
      <c r="E10">
        <v>6</v>
      </c>
      <c r="F10" t="s">
        <v>554</v>
      </c>
      <c r="G10">
        <v>800</v>
      </c>
      <c r="I10">
        <v>36</v>
      </c>
      <c r="J10" s="1">
        <v>45</v>
      </c>
      <c r="K10">
        <f t="shared" si="0"/>
        <v>45</v>
      </c>
      <c r="L10" t="str">
        <f t="shared" si="1"/>
        <v>With Affectionate</v>
      </c>
    </row>
    <row r="11" spans="1:13" x14ac:dyDescent="0.35">
      <c r="A11" t="s">
        <v>555</v>
      </c>
      <c r="C11" t="s">
        <v>533</v>
      </c>
      <c r="D11" t="s">
        <v>534</v>
      </c>
      <c r="E11">
        <v>4</v>
      </c>
      <c r="F11" t="s">
        <v>556</v>
      </c>
      <c r="G11">
        <v>500</v>
      </c>
      <c r="I11">
        <v>34</v>
      </c>
      <c r="J11" s="1">
        <v>29</v>
      </c>
      <c r="K11">
        <f t="shared" si="0"/>
        <v>29</v>
      </c>
      <c r="L11" t="str">
        <f t="shared" si="1"/>
        <v>Without Affectionate</v>
      </c>
    </row>
    <row r="12" spans="1:13" x14ac:dyDescent="0.35">
      <c r="A12" t="s">
        <v>557</v>
      </c>
      <c r="C12" t="s">
        <v>533</v>
      </c>
      <c r="D12" t="s">
        <v>534</v>
      </c>
      <c r="E12">
        <v>7</v>
      </c>
      <c r="F12" t="s">
        <v>558</v>
      </c>
      <c r="G12">
        <v>1750</v>
      </c>
      <c r="H12">
        <v>6</v>
      </c>
      <c r="I12">
        <v>5</v>
      </c>
      <c r="J12" s="1">
        <v>26</v>
      </c>
      <c r="K12">
        <f t="shared" si="0"/>
        <v>26</v>
      </c>
      <c r="L12" t="str">
        <f t="shared" si="1"/>
        <v>With Affectionate</v>
      </c>
    </row>
    <row r="13" spans="1:13" x14ac:dyDescent="0.35">
      <c r="A13" t="s">
        <v>559</v>
      </c>
      <c r="C13" t="s">
        <v>533</v>
      </c>
      <c r="D13" t="s">
        <v>534</v>
      </c>
      <c r="E13">
        <v>5</v>
      </c>
      <c r="F13" t="s">
        <v>560</v>
      </c>
      <c r="G13">
        <v>1250</v>
      </c>
      <c r="H13">
        <v>4</v>
      </c>
      <c r="I13">
        <v>16</v>
      </c>
      <c r="J13" s="1">
        <v>77</v>
      </c>
      <c r="K13">
        <f t="shared" si="0"/>
        <v>77</v>
      </c>
      <c r="L13" t="str">
        <f t="shared" si="1"/>
        <v>With Affectionate</v>
      </c>
    </row>
    <row r="14" spans="1:13" x14ac:dyDescent="0.35">
      <c r="A14" t="s">
        <v>561</v>
      </c>
      <c r="C14" t="s">
        <v>533</v>
      </c>
      <c r="D14" t="s">
        <v>547</v>
      </c>
      <c r="E14">
        <v>5</v>
      </c>
      <c r="F14" t="s">
        <v>562</v>
      </c>
      <c r="G14">
        <v>600</v>
      </c>
      <c r="I14">
        <v>38</v>
      </c>
      <c r="J14" s="1">
        <v>55</v>
      </c>
      <c r="K14">
        <f t="shared" si="0"/>
        <v>55</v>
      </c>
      <c r="L14" t="str">
        <f t="shared" si="1"/>
        <v>Without Affectionate</v>
      </c>
    </row>
    <row r="15" spans="1:13" x14ac:dyDescent="0.35">
      <c r="A15" t="s">
        <v>563</v>
      </c>
      <c r="C15" t="s">
        <v>564</v>
      </c>
      <c r="D15" t="s">
        <v>534</v>
      </c>
      <c r="E15">
        <v>6</v>
      </c>
      <c r="F15" t="s">
        <v>540</v>
      </c>
      <c r="G15">
        <v>100</v>
      </c>
      <c r="J15" s="1">
        <v>54</v>
      </c>
      <c r="K15">
        <f t="shared" si="0"/>
        <v>54</v>
      </c>
      <c r="L15" t="str">
        <f t="shared" si="1"/>
        <v>Without Affectionate</v>
      </c>
    </row>
    <row r="16" spans="1:13" x14ac:dyDescent="0.35">
      <c r="A16" t="s">
        <v>565</v>
      </c>
      <c r="C16" t="s">
        <v>533</v>
      </c>
      <c r="D16" t="s">
        <v>566</v>
      </c>
      <c r="E16">
        <v>5</v>
      </c>
      <c r="F16" t="s">
        <v>567</v>
      </c>
      <c r="G16">
        <v>1450</v>
      </c>
      <c r="I16">
        <v>8</v>
      </c>
      <c r="J16" s="1">
        <v>35</v>
      </c>
      <c r="K16">
        <f t="shared" si="0"/>
        <v>35</v>
      </c>
      <c r="L16" t="str">
        <f t="shared" si="1"/>
        <v>Without Affectionate</v>
      </c>
    </row>
    <row r="17" spans="1:12" x14ac:dyDescent="0.35">
      <c r="A17" t="s">
        <v>568</v>
      </c>
      <c r="C17" t="s">
        <v>533</v>
      </c>
      <c r="D17" t="s">
        <v>534</v>
      </c>
      <c r="E17">
        <v>6</v>
      </c>
      <c r="F17" t="s">
        <v>569</v>
      </c>
      <c r="G17">
        <v>1250</v>
      </c>
      <c r="I17">
        <v>27</v>
      </c>
      <c r="J17" s="1">
        <v>47</v>
      </c>
      <c r="K17">
        <f t="shared" si="0"/>
        <v>47</v>
      </c>
      <c r="L17" t="str">
        <f t="shared" si="1"/>
        <v>Without Affectionate</v>
      </c>
    </row>
    <row r="18" spans="1:12" x14ac:dyDescent="0.35">
      <c r="A18" t="s">
        <v>570</v>
      </c>
      <c r="C18" t="s">
        <v>546</v>
      </c>
      <c r="D18" t="s">
        <v>534</v>
      </c>
      <c r="E18">
        <v>5</v>
      </c>
      <c r="F18" t="s">
        <v>571</v>
      </c>
      <c r="G18">
        <v>1500</v>
      </c>
      <c r="J18" s="1">
        <v>84</v>
      </c>
      <c r="K18">
        <f t="shared" si="0"/>
        <v>84</v>
      </c>
      <c r="L18" t="str">
        <f t="shared" si="1"/>
        <v>With Affectionate</v>
      </c>
    </row>
    <row r="19" spans="1:12" x14ac:dyDescent="0.35">
      <c r="A19" t="s">
        <v>572</v>
      </c>
      <c r="C19" t="s">
        <v>573</v>
      </c>
      <c r="D19" t="s">
        <v>534</v>
      </c>
      <c r="E19">
        <v>1</v>
      </c>
      <c r="F19" t="s">
        <v>574</v>
      </c>
      <c r="G19">
        <v>200</v>
      </c>
      <c r="J19" s="1">
        <v>93</v>
      </c>
      <c r="K19">
        <f t="shared" si="0"/>
        <v>93</v>
      </c>
      <c r="L19" t="str">
        <f t="shared" si="1"/>
        <v>With Affectionate</v>
      </c>
    </row>
    <row r="20" spans="1:12" x14ac:dyDescent="0.35">
      <c r="A20" t="s">
        <v>575</v>
      </c>
      <c r="C20" t="s">
        <v>533</v>
      </c>
      <c r="D20" t="s">
        <v>534</v>
      </c>
      <c r="E20">
        <v>3</v>
      </c>
      <c r="F20" t="s">
        <v>576</v>
      </c>
      <c r="G20">
        <v>1000</v>
      </c>
      <c r="I20">
        <v>11</v>
      </c>
      <c r="J20" s="1">
        <v>101</v>
      </c>
      <c r="K20">
        <f t="shared" si="0"/>
        <v>101</v>
      </c>
      <c r="L20" t="str">
        <f t="shared" si="1"/>
        <v>Without Affectionate</v>
      </c>
    </row>
    <row r="21" spans="1:12" x14ac:dyDescent="0.35">
      <c r="A21" t="s">
        <v>577</v>
      </c>
      <c r="C21" t="s">
        <v>533</v>
      </c>
      <c r="D21" t="s">
        <v>547</v>
      </c>
      <c r="E21">
        <v>5</v>
      </c>
      <c r="F21" t="s">
        <v>578</v>
      </c>
      <c r="G21">
        <v>400</v>
      </c>
      <c r="J21" s="1">
        <v>125</v>
      </c>
      <c r="K21">
        <f t="shared" si="0"/>
        <v>125</v>
      </c>
      <c r="L21" t="str">
        <f t="shared" si="1"/>
        <v>With Affectionate</v>
      </c>
    </row>
    <row r="22" spans="1:12" x14ac:dyDescent="0.35">
      <c r="A22" t="s">
        <v>579</v>
      </c>
      <c r="C22" t="s">
        <v>533</v>
      </c>
      <c r="D22" t="s">
        <v>534</v>
      </c>
      <c r="E22">
        <v>3</v>
      </c>
      <c r="F22" t="s">
        <v>580</v>
      </c>
      <c r="G22">
        <v>800</v>
      </c>
      <c r="I22">
        <v>12</v>
      </c>
      <c r="J22" s="1">
        <v>115</v>
      </c>
      <c r="K22">
        <f t="shared" si="0"/>
        <v>115</v>
      </c>
      <c r="L22" t="str">
        <f t="shared" si="1"/>
        <v>Without Affectionate</v>
      </c>
    </row>
    <row r="23" spans="1:12" x14ac:dyDescent="0.35">
      <c r="A23" t="s">
        <v>581</v>
      </c>
      <c r="C23" t="s">
        <v>564</v>
      </c>
      <c r="D23" t="s">
        <v>534</v>
      </c>
      <c r="E23">
        <v>6</v>
      </c>
      <c r="F23" t="s">
        <v>540</v>
      </c>
      <c r="G23">
        <v>100</v>
      </c>
      <c r="J23" s="1">
        <v>154</v>
      </c>
      <c r="K23">
        <f t="shared" si="0"/>
        <v>154</v>
      </c>
      <c r="L23" t="str">
        <f t="shared" si="1"/>
        <v>Without Affectionate</v>
      </c>
    </row>
    <row r="24" spans="1:12" x14ac:dyDescent="0.35">
      <c r="A24" t="s">
        <v>582</v>
      </c>
      <c r="C24" t="s">
        <v>564</v>
      </c>
      <c r="D24" t="s">
        <v>534</v>
      </c>
      <c r="E24">
        <v>6</v>
      </c>
      <c r="F24" t="s">
        <v>540</v>
      </c>
      <c r="G24">
        <v>100</v>
      </c>
      <c r="J24" s="1">
        <v>198</v>
      </c>
      <c r="K24">
        <f t="shared" si="0"/>
        <v>198</v>
      </c>
      <c r="L24" t="str">
        <f t="shared" si="1"/>
        <v>Without Affectionate</v>
      </c>
    </row>
    <row r="25" spans="1:12" x14ac:dyDescent="0.35">
      <c r="A25" t="s">
        <v>583</v>
      </c>
      <c r="C25" t="s">
        <v>564</v>
      </c>
      <c r="D25" t="s">
        <v>547</v>
      </c>
      <c r="E25">
        <v>6</v>
      </c>
      <c r="F25" t="s">
        <v>540</v>
      </c>
      <c r="G25">
        <v>100</v>
      </c>
      <c r="J25" s="1">
        <v>76</v>
      </c>
      <c r="K25">
        <f t="shared" si="0"/>
        <v>76</v>
      </c>
      <c r="L25" t="str">
        <f t="shared" si="1"/>
        <v>Without Affectionate</v>
      </c>
    </row>
    <row r="26" spans="1:12" x14ac:dyDescent="0.35">
      <c r="A26" t="s">
        <v>584</v>
      </c>
      <c r="C26" t="s">
        <v>564</v>
      </c>
      <c r="D26" t="s">
        <v>537</v>
      </c>
      <c r="E26">
        <v>6</v>
      </c>
      <c r="F26" t="s">
        <v>540</v>
      </c>
      <c r="G26">
        <v>100</v>
      </c>
      <c r="J26" s="1">
        <v>95</v>
      </c>
      <c r="K26">
        <f t="shared" si="0"/>
        <v>95</v>
      </c>
      <c r="L26" t="str">
        <f t="shared" si="1"/>
        <v>Without Affectionate</v>
      </c>
    </row>
    <row r="27" spans="1:12" x14ac:dyDescent="0.35">
      <c r="A27" t="s">
        <v>585</v>
      </c>
      <c r="C27" t="s">
        <v>564</v>
      </c>
      <c r="D27" t="s">
        <v>534</v>
      </c>
      <c r="E27">
        <v>6</v>
      </c>
      <c r="F27" t="s">
        <v>540</v>
      </c>
      <c r="G27">
        <v>100</v>
      </c>
      <c r="J27" s="1">
        <v>39</v>
      </c>
      <c r="K27">
        <f t="shared" si="0"/>
        <v>39</v>
      </c>
      <c r="L27" t="str">
        <f t="shared" si="1"/>
        <v>Without Affectionate</v>
      </c>
    </row>
    <row r="28" spans="1:12" x14ac:dyDescent="0.35">
      <c r="A28" t="s">
        <v>586</v>
      </c>
      <c r="C28" t="s">
        <v>533</v>
      </c>
      <c r="D28" t="s">
        <v>537</v>
      </c>
      <c r="E28">
        <v>5</v>
      </c>
      <c r="F28" t="s">
        <v>587</v>
      </c>
      <c r="G28">
        <v>800</v>
      </c>
      <c r="I28">
        <v>20</v>
      </c>
      <c r="J28" s="1">
        <v>45</v>
      </c>
      <c r="K28">
        <f t="shared" si="0"/>
        <v>45</v>
      </c>
      <c r="L28" t="str">
        <f t="shared" si="1"/>
        <v>Without Affectionate</v>
      </c>
    </row>
    <row r="29" spans="1:12" x14ac:dyDescent="0.35">
      <c r="A29" t="s">
        <v>588</v>
      </c>
      <c r="C29" t="s">
        <v>533</v>
      </c>
      <c r="D29" t="s">
        <v>534</v>
      </c>
      <c r="E29">
        <v>5</v>
      </c>
      <c r="F29" t="s">
        <v>589</v>
      </c>
      <c r="G29">
        <v>1750</v>
      </c>
      <c r="H29">
        <v>2</v>
      </c>
      <c r="I29">
        <v>1</v>
      </c>
      <c r="J29" s="1">
        <v>54</v>
      </c>
      <c r="K29">
        <f t="shared" si="0"/>
        <v>54</v>
      </c>
      <c r="L29" t="str">
        <f t="shared" si="1"/>
        <v>Without Affectionate</v>
      </c>
    </row>
    <row r="30" spans="1:12" x14ac:dyDescent="0.35">
      <c r="A30" t="s">
        <v>590</v>
      </c>
      <c r="C30" t="s">
        <v>533</v>
      </c>
      <c r="D30" t="s">
        <v>537</v>
      </c>
      <c r="E30">
        <v>5</v>
      </c>
      <c r="F30" t="s">
        <v>591</v>
      </c>
      <c r="G30">
        <v>2000</v>
      </c>
      <c r="J30" s="1">
        <v>67</v>
      </c>
      <c r="K30">
        <f t="shared" si="0"/>
        <v>67</v>
      </c>
      <c r="L30" t="str">
        <f t="shared" si="1"/>
        <v>With Affectionate</v>
      </c>
    </row>
    <row r="31" spans="1:12" x14ac:dyDescent="0.35">
      <c r="A31" t="s">
        <v>592</v>
      </c>
      <c r="C31" t="s">
        <v>533</v>
      </c>
      <c r="D31" t="s">
        <v>537</v>
      </c>
      <c r="E31">
        <v>4</v>
      </c>
      <c r="F31" t="s">
        <v>593</v>
      </c>
      <c r="G31">
        <v>900</v>
      </c>
      <c r="I31">
        <v>35</v>
      </c>
      <c r="J31" s="1">
        <v>71</v>
      </c>
      <c r="K31">
        <f t="shared" si="0"/>
        <v>71</v>
      </c>
      <c r="L31" t="str">
        <f t="shared" si="1"/>
        <v>Without Affectionate</v>
      </c>
    </row>
    <row r="32" spans="1:12" x14ac:dyDescent="0.35">
      <c r="A32" t="s">
        <v>594</v>
      </c>
      <c r="C32" t="s">
        <v>533</v>
      </c>
      <c r="D32" t="s">
        <v>547</v>
      </c>
      <c r="E32">
        <v>6</v>
      </c>
      <c r="F32" t="s">
        <v>595</v>
      </c>
      <c r="G32">
        <v>800</v>
      </c>
      <c r="J32" s="1">
        <v>72</v>
      </c>
      <c r="K32">
        <f t="shared" si="0"/>
        <v>72</v>
      </c>
      <c r="L32" t="str">
        <f t="shared" si="1"/>
        <v>With Affectionate</v>
      </c>
    </row>
    <row r="33" spans="1:12" x14ac:dyDescent="0.35">
      <c r="A33" t="s">
        <v>596</v>
      </c>
      <c r="C33" t="s">
        <v>533</v>
      </c>
      <c r="D33" t="s">
        <v>547</v>
      </c>
      <c r="E33">
        <v>4</v>
      </c>
      <c r="F33" t="s">
        <v>597</v>
      </c>
      <c r="G33">
        <v>800</v>
      </c>
      <c r="I33">
        <v>24</v>
      </c>
      <c r="J33" s="1">
        <v>43</v>
      </c>
      <c r="K33">
        <f t="shared" si="0"/>
        <v>43</v>
      </c>
      <c r="L33" t="str">
        <f t="shared" si="1"/>
        <v>Without Affectionate</v>
      </c>
    </row>
    <row r="34" spans="1:12" x14ac:dyDescent="0.35">
      <c r="A34" t="s">
        <v>598</v>
      </c>
      <c r="C34" t="s">
        <v>546</v>
      </c>
      <c r="D34" t="s">
        <v>537</v>
      </c>
      <c r="E34">
        <v>4</v>
      </c>
      <c r="F34" t="s">
        <v>599</v>
      </c>
      <c r="G34">
        <v>1200</v>
      </c>
      <c r="J34" s="1">
        <v>57</v>
      </c>
      <c r="K34">
        <f t="shared" si="0"/>
        <v>57</v>
      </c>
      <c r="L34" t="str">
        <f t="shared" si="1"/>
        <v>Without Affectionate</v>
      </c>
    </row>
    <row r="35" spans="1:12" x14ac:dyDescent="0.35">
      <c r="A35" t="s">
        <v>600</v>
      </c>
      <c r="C35" t="s">
        <v>533</v>
      </c>
      <c r="D35" t="s">
        <v>547</v>
      </c>
      <c r="E35">
        <v>4</v>
      </c>
      <c r="F35" t="s">
        <v>601</v>
      </c>
      <c r="G35">
        <v>600</v>
      </c>
      <c r="I35">
        <v>40</v>
      </c>
      <c r="J35" s="1">
        <v>78</v>
      </c>
      <c r="K35">
        <f t="shared" si="0"/>
        <v>78</v>
      </c>
      <c r="L35" t="str">
        <f t="shared" si="1"/>
        <v>Without Affectionate</v>
      </c>
    </row>
    <row r="36" spans="1:12" x14ac:dyDescent="0.35">
      <c r="A36" t="s">
        <v>602</v>
      </c>
      <c r="C36" t="s">
        <v>533</v>
      </c>
      <c r="D36" t="s">
        <v>547</v>
      </c>
      <c r="E36">
        <v>4</v>
      </c>
      <c r="F36" t="s">
        <v>603</v>
      </c>
      <c r="G36">
        <v>500</v>
      </c>
      <c r="I36">
        <v>39</v>
      </c>
      <c r="J36" s="1">
        <v>89</v>
      </c>
      <c r="K36">
        <f t="shared" si="0"/>
        <v>89</v>
      </c>
      <c r="L36" t="str">
        <f t="shared" si="1"/>
        <v>With Affectionate</v>
      </c>
    </row>
    <row r="37" spans="1:12" x14ac:dyDescent="0.35">
      <c r="A37" t="s">
        <v>604</v>
      </c>
      <c r="C37" t="s">
        <v>533</v>
      </c>
      <c r="D37" t="s">
        <v>547</v>
      </c>
      <c r="E37">
        <v>7</v>
      </c>
      <c r="F37" t="s">
        <v>605</v>
      </c>
      <c r="G37">
        <v>1600</v>
      </c>
      <c r="H37">
        <v>1</v>
      </c>
      <c r="I37">
        <v>3</v>
      </c>
      <c r="J37" s="1">
        <v>99</v>
      </c>
      <c r="K37">
        <f t="shared" si="0"/>
        <v>99</v>
      </c>
      <c r="L37" t="str">
        <f t="shared" si="1"/>
        <v>Without Affectionate</v>
      </c>
    </row>
    <row r="38" spans="1:12" x14ac:dyDescent="0.35">
      <c r="A38" t="s">
        <v>606</v>
      </c>
      <c r="C38" t="s">
        <v>533</v>
      </c>
      <c r="D38" t="s">
        <v>534</v>
      </c>
      <c r="E38">
        <v>5</v>
      </c>
      <c r="F38" t="s">
        <v>607</v>
      </c>
      <c r="G38">
        <v>500</v>
      </c>
      <c r="I38">
        <v>23</v>
      </c>
      <c r="J38" s="1">
        <v>110</v>
      </c>
      <c r="K38">
        <f t="shared" si="0"/>
        <v>110</v>
      </c>
      <c r="L38" t="str">
        <f t="shared" si="1"/>
        <v>Without Affectionate</v>
      </c>
    </row>
    <row r="39" spans="1:12" x14ac:dyDescent="0.35">
      <c r="A39" t="s">
        <v>608</v>
      </c>
      <c r="C39" t="s">
        <v>533</v>
      </c>
      <c r="D39" t="s">
        <v>537</v>
      </c>
      <c r="E39">
        <v>3</v>
      </c>
      <c r="F39" t="s">
        <v>609</v>
      </c>
      <c r="G39">
        <v>1500</v>
      </c>
      <c r="J39" s="1">
        <v>155</v>
      </c>
      <c r="K39">
        <f t="shared" si="0"/>
        <v>155</v>
      </c>
      <c r="L39" t="str">
        <f t="shared" si="1"/>
        <v>Without Affectionate</v>
      </c>
    </row>
    <row r="40" spans="1:12" x14ac:dyDescent="0.35">
      <c r="A40" t="s">
        <v>610</v>
      </c>
      <c r="C40" t="s">
        <v>533</v>
      </c>
      <c r="D40" t="s">
        <v>547</v>
      </c>
      <c r="E40">
        <v>4</v>
      </c>
      <c r="F40" t="s">
        <v>611</v>
      </c>
      <c r="G40">
        <v>500</v>
      </c>
      <c r="J40" s="1">
        <v>45</v>
      </c>
      <c r="K40">
        <f t="shared" si="0"/>
        <v>45</v>
      </c>
      <c r="L40" t="str">
        <f t="shared" si="1"/>
        <v>Without Affectionate</v>
      </c>
    </row>
    <row r="41" spans="1:12" x14ac:dyDescent="0.35">
      <c r="A41" t="s">
        <v>612</v>
      </c>
      <c r="C41" t="s">
        <v>546</v>
      </c>
      <c r="D41" t="s">
        <v>547</v>
      </c>
      <c r="E41">
        <v>6</v>
      </c>
      <c r="F41" t="s">
        <v>613</v>
      </c>
      <c r="G41">
        <v>1000</v>
      </c>
      <c r="H41">
        <v>9</v>
      </c>
      <c r="I41">
        <v>14</v>
      </c>
      <c r="J41" s="1">
        <v>59</v>
      </c>
      <c r="K41">
        <f t="shared" si="0"/>
        <v>59</v>
      </c>
      <c r="L41" t="str">
        <f t="shared" si="1"/>
        <v>Without Affectionate</v>
      </c>
    </row>
    <row r="42" spans="1:12" x14ac:dyDescent="0.35">
      <c r="A42" t="s">
        <v>614</v>
      </c>
      <c r="C42" t="s">
        <v>546</v>
      </c>
      <c r="D42" t="s">
        <v>534</v>
      </c>
      <c r="E42">
        <v>6</v>
      </c>
      <c r="F42" t="s">
        <v>615</v>
      </c>
      <c r="G42">
        <v>850</v>
      </c>
      <c r="I42">
        <v>21</v>
      </c>
      <c r="J42" s="1">
        <v>55</v>
      </c>
      <c r="K42">
        <f t="shared" si="0"/>
        <v>55</v>
      </c>
      <c r="L42" t="str">
        <f t="shared" si="1"/>
        <v>Without Affectionate</v>
      </c>
    </row>
    <row r="43" spans="1:12" x14ac:dyDescent="0.35">
      <c r="A43" t="s">
        <v>616</v>
      </c>
      <c r="C43" t="s">
        <v>533</v>
      </c>
      <c r="D43" t="s">
        <v>547</v>
      </c>
      <c r="E43">
        <v>4</v>
      </c>
      <c r="F43" t="s">
        <v>617</v>
      </c>
      <c r="G43">
        <v>1150</v>
      </c>
      <c r="I43">
        <v>13</v>
      </c>
      <c r="J43" s="1">
        <v>23</v>
      </c>
      <c r="K43">
        <f t="shared" si="0"/>
        <v>23</v>
      </c>
      <c r="L43" t="str">
        <f t="shared" si="1"/>
        <v>Without Affectionate</v>
      </c>
    </row>
    <row r="44" spans="1:12" x14ac:dyDescent="0.35">
      <c r="A44" t="s">
        <v>618</v>
      </c>
      <c r="C44" t="s">
        <v>533</v>
      </c>
      <c r="D44" t="s">
        <v>534</v>
      </c>
      <c r="E44">
        <v>4</v>
      </c>
      <c r="F44" t="s">
        <v>617</v>
      </c>
      <c r="G44">
        <v>1150</v>
      </c>
      <c r="I44">
        <v>13</v>
      </c>
      <c r="J44" s="1">
        <v>45</v>
      </c>
      <c r="K44">
        <f t="shared" si="0"/>
        <v>45</v>
      </c>
      <c r="L44" t="str">
        <f t="shared" si="1"/>
        <v>With Affectionate</v>
      </c>
    </row>
    <row r="45" spans="1:12" x14ac:dyDescent="0.35">
      <c r="A45" t="s">
        <v>619</v>
      </c>
      <c r="C45" t="s">
        <v>533</v>
      </c>
      <c r="D45" t="s">
        <v>537</v>
      </c>
      <c r="E45">
        <v>4</v>
      </c>
      <c r="F45" t="s">
        <v>617</v>
      </c>
      <c r="G45">
        <v>1150</v>
      </c>
      <c r="I45">
        <v>13</v>
      </c>
      <c r="J45" s="1">
        <v>101</v>
      </c>
      <c r="K45">
        <f t="shared" si="0"/>
        <v>101</v>
      </c>
      <c r="L45" t="str">
        <f t="shared" si="1"/>
        <v>With Affectionate</v>
      </c>
    </row>
    <row r="46" spans="1:12" x14ac:dyDescent="0.35">
      <c r="A46" t="s">
        <v>620</v>
      </c>
      <c r="C46" t="s">
        <v>533</v>
      </c>
      <c r="D46" t="s">
        <v>547</v>
      </c>
      <c r="E46">
        <v>6</v>
      </c>
      <c r="F46" t="s">
        <v>621</v>
      </c>
      <c r="G46">
        <v>1250</v>
      </c>
      <c r="H46">
        <v>3</v>
      </c>
      <c r="I46">
        <v>2</v>
      </c>
      <c r="J46" s="1">
        <v>115</v>
      </c>
      <c r="K46">
        <f t="shared" si="0"/>
        <v>115</v>
      </c>
      <c r="L46" t="str">
        <f t="shared" si="1"/>
        <v>With Affectionate</v>
      </c>
    </row>
    <row r="47" spans="1:12" x14ac:dyDescent="0.35">
      <c r="A47" t="s">
        <v>622</v>
      </c>
      <c r="C47" t="s">
        <v>533</v>
      </c>
      <c r="D47" t="s">
        <v>537</v>
      </c>
      <c r="E47">
        <v>6</v>
      </c>
      <c r="F47" t="s">
        <v>623</v>
      </c>
      <c r="G47">
        <v>700</v>
      </c>
      <c r="J47" s="1">
        <v>309</v>
      </c>
      <c r="K47">
        <f t="shared" si="0"/>
        <v>309</v>
      </c>
      <c r="L47" t="str">
        <f t="shared" si="1"/>
        <v>With Affectionate</v>
      </c>
    </row>
    <row r="48" spans="1:12" x14ac:dyDescent="0.35">
      <c r="A48" t="s">
        <v>624</v>
      </c>
      <c r="C48" t="s">
        <v>533</v>
      </c>
      <c r="D48" t="s">
        <v>537</v>
      </c>
      <c r="E48">
        <v>7</v>
      </c>
      <c r="F48" t="s">
        <v>625</v>
      </c>
      <c r="G48">
        <v>1000</v>
      </c>
      <c r="I48">
        <v>32</v>
      </c>
      <c r="J48" s="1">
        <v>77</v>
      </c>
      <c r="K48">
        <f t="shared" si="0"/>
        <v>77</v>
      </c>
      <c r="L48" t="str">
        <f t="shared" si="1"/>
        <v>With Affectionate</v>
      </c>
    </row>
    <row r="49" spans="1:12" x14ac:dyDescent="0.35">
      <c r="A49" t="s">
        <v>626</v>
      </c>
      <c r="C49" t="s">
        <v>533</v>
      </c>
      <c r="D49" t="s">
        <v>547</v>
      </c>
      <c r="E49">
        <v>7</v>
      </c>
      <c r="F49" t="s">
        <v>627</v>
      </c>
      <c r="G49">
        <v>1000</v>
      </c>
      <c r="H49">
        <v>7</v>
      </c>
      <c r="I49">
        <v>4</v>
      </c>
      <c r="J49" s="1">
        <v>63</v>
      </c>
      <c r="K49">
        <f t="shared" si="0"/>
        <v>63</v>
      </c>
      <c r="L49" t="str">
        <f t="shared" si="1"/>
        <v>With Affectionate</v>
      </c>
    </row>
    <row r="50" spans="1:12" x14ac:dyDescent="0.35">
      <c r="A50" t="s">
        <v>628</v>
      </c>
      <c r="C50" t="s">
        <v>533</v>
      </c>
      <c r="D50" t="s">
        <v>534</v>
      </c>
      <c r="E50">
        <v>4</v>
      </c>
      <c r="F50" t="s">
        <v>629</v>
      </c>
      <c r="G50">
        <v>700</v>
      </c>
      <c r="I50">
        <v>19</v>
      </c>
      <c r="J50" s="1">
        <v>95</v>
      </c>
      <c r="K50">
        <f t="shared" si="0"/>
        <v>95</v>
      </c>
      <c r="L50" t="str">
        <f t="shared" si="1"/>
        <v>Without Affectionate</v>
      </c>
    </row>
    <row r="51" spans="1:12" x14ac:dyDescent="0.35">
      <c r="A51" t="s">
        <v>630</v>
      </c>
      <c r="C51" t="s">
        <v>546</v>
      </c>
      <c r="D51" t="s">
        <v>534</v>
      </c>
      <c r="E51">
        <v>4</v>
      </c>
      <c r="F51" t="s">
        <v>631</v>
      </c>
      <c r="G51">
        <v>1250</v>
      </c>
      <c r="H51">
        <v>10</v>
      </c>
      <c r="I51">
        <v>10</v>
      </c>
      <c r="J51" s="1">
        <v>103</v>
      </c>
      <c r="K51">
        <f t="shared" si="0"/>
        <v>103</v>
      </c>
      <c r="L51" t="str">
        <f t="shared" si="1"/>
        <v>Without Affectionate</v>
      </c>
    </row>
    <row r="52" spans="1:12" x14ac:dyDescent="0.35">
      <c r="A52" t="s">
        <v>632</v>
      </c>
      <c r="C52" t="s">
        <v>533</v>
      </c>
      <c r="D52" t="s">
        <v>547</v>
      </c>
      <c r="E52">
        <v>6</v>
      </c>
      <c r="F52" t="s">
        <v>633</v>
      </c>
      <c r="G52">
        <v>1150</v>
      </c>
      <c r="I52">
        <v>25</v>
      </c>
      <c r="J52" s="1">
        <v>115</v>
      </c>
      <c r="K52">
        <f t="shared" si="0"/>
        <v>115</v>
      </c>
      <c r="L52" t="str">
        <f t="shared" si="1"/>
        <v>With Affectionate</v>
      </c>
    </row>
    <row r="53" spans="1:12" x14ac:dyDescent="0.35">
      <c r="A53" t="s">
        <v>634</v>
      </c>
      <c r="C53" t="s">
        <v>533</v>
      </c>
      <c r="D53" t="s">
        <v>534</v>
      </c>
      <c r="E53">
        <v>6</v>
      </c>
      <c r="F53" t="s">
        <v>544</v>
      </c>
      <c r="G53">
        <v>500</v>
      </c>
      <c r="I53">
        <v>9</v>
      </c>
      <c r="J53" s="1">
        <v>79</v>
      </c>
      <c r="K53">
        <f t="shared" si="0"/>
        <v>79</v>
      </c>
      <c r="L53" t="str">
        <f t="shared" si="1"/>
        <v>With Affectionate</v>
      </c>
    </row>
    <row r="54" spans="1:12" x14ac:dyDescent="0.35">
      <c r="A54" t="s">
        <v>635</v>
      </c>
      <c r="C54" t="s">
        <v>546</v>
      </c>
      <c r="D54" t="s">
        <v>547</v>
      </c>
      <c r="E54">
        <v>6</v>
      </c>
      <c r="F54" t="s">
        <v>636</v>
      </c>
      <c r="G54">
        <v>1000</v>
      </c>
      <c r="J54" s="1">
        <v>5</v>
      </c>
      <c r="K54">
        <f t="shared" si="0"/>
        <v>5</v>
      </c>
      <c r="L54" t="str">
        <f t="shared" si="1"/>
        <v>Without Affectionate</v>
      </c>
    </row>
    <row r="55" spans="1:12" x14ac:dyDescent="0.35">
      <c r="A55" t="s">
        <v>637</v>
      </c>
      <c r="C55" t="s">
        <v>564</v>
      </c>
      <c r="D55" t="s">
        <v>534</v>
      </c>
      <c r="E55">
        <v>6</v>
      </c>
      <c r="F55" t="s">
        <v>540</v>
      </c>
      <c r="G55">
        <v>100</v>
      </c>
      <c r="J55" s="1">
        <v>20</v>
      </c>
      <c r="K55">
        <f t="shared" si="0"/>
        <v>20</v>
      </c>
      <c r="L55" t="str">
        <f t="shared" si="1"/>
        <v>Without Affectionate</v>
      </c>
    </row>
    <row r="56" spans="1:12" x14ac:dyDescent="0.35">
      <c r="A56" t="s">
        <v>638</v>
      </c>
      <c r="C56" t="s">
        <v>533</v>
      </c>
      <c r="D56" t="s">
        <v>534</v>
      </c>
      <c r="E56">
        <v>3</v>
      </c>
      <c r="F56" t="s">
        <v>639</v>
      </c>
      <c r="G56">
        <v>1150</v>
      </c>
      <c r="I56">
        <v>22</v>
      </c>
      <c r="J56" s="1">
        <v>15</v>
      </c>
      <c r="K56">
        <f t="shared" si="0"/>
        <v>15</v>
      </c>
      <c r="L56" t="str">
        <f t="shared" si="1"/>
        <v>Without Affectionate</v>
      </c>
    </row>
    <row r="57" spans="1:12" x14ac:dyDescent="0.35">
      <c r="A57" t="s">
        <v>640</v>
      </c>
      <c r="C57" t="s">
        <v>533</v>
      </c>
      <c r="D57" t="s">
        <v>534</v>
      </c>
      <c r="E57">
        <v>5</v>
      </c>
      <c r="F57" t="s">
        <v>641</v>
      </c>
      <c r="G57">
        <v>800</v>
      </c>
      <c r="J57" s="1">
        <v>5</v>
      </c>
      <c r="K57">
        <f t="shared" si="0"/>
        <v>5</v>
      </c>
      <c r="L57" t="str">
        <f t="shared" si="1"/>
        <v>With Affectionate</v>
      </c>
    </row>
    <row r="58" spans="1:12" x14ac:dyDescent="0.35">
      <c r="A58" t="s">
        <v>642</v>
      </c>
      <c r="C58" t="s">
        <v>546</v>
      </c>
      <c r="D58" t="s">
        <v>547</v>
      </c>
      <c r="E58">
        <v>5</v>
      </c>
      <c r="F58" t="s">
        <v>643</v>
      </c>
      <c r="G58">
        <v>1250</v>
      </c>
      <c r="I58">
        <v>28</v>
      </c>
      <c r="J58" s="1">
        <v>49</v>
      </c>
      <c r="K58">
        <f t="shared" si="0"/>
        <v>49</v>
      </c>
      <c r="L58" t="str">
        <f t="shared" si="1"/>
        <v>With Affectionate</v>
      </c>
    </row>
    <row r="59" spans="1:12" x14ac:dyDescent="0.35">
      <c r="A59" t="s">
        <v>644</v>
      </c>
      <c r="B59" t="s">
        <v>645</v>
      </c>
      <c r="C59" t="s">
        <v>533</v>
      </c>
      <c r="D59" t="s">
        <v>566</v>
      </c>
      <c r="E59">
        <v>5</v>
      </c>
      <c r="F59" t="s">
        <v>567</v>
      </c>
      <c r="G59">
        <v>1450</v>
      </c>
      <c r="I59">
        <v>8</v>
      </c>
      <c r="J59" s="1">
        <v>4</v>
      </c>
      <c r="K59">
        <f t="shared" si="0"/>
        <v>4</v>
      </c>
      <c r="L59" t="str">
        <f t="shared" si="1"/>
        <v>With Affectionate</v>
      </c>
    </row>
    <row r="60" spans="1:12" x14ac:dyDescent="0.35">
      <c r="A60" t="s">
        <v>646</v>
      </c>
      <c r="C60" t="s">
        <v>564</v>
      </c>
      <c r="D60" t="s">
        <v>534</v>
      </c>
      <c r="E60">
        <v>6</v>
      </c>
      <c r="F60" t="s">
        <v>540</v>
      </c>
      <c r="G60">
        <v>100</v>
      </c>
      <c r="J60" s="1">
        <v>39</v>
      </c>
      <c r="K60">
        <f t="shared" si="0"/>
        <v>39</v>
      </c>
      <c r="L60" t="str">
        <f t="shared" si="1"/>
        <v>Without Affectionate</v>
      </c>
    </row>
    <row r="61" spans="1:12" x14ac:dyDescent="0.35">
      <c r="A61" t="s">
        <v>647</v>
      </c>
      <c r="C61" t="s">
        <v>533</v>
      </c>
      <c r="D61" t="s">
        <v>534</v>
      </c>
      <c r="E61">
        <v>6</v>
      </c>
      <c r="F61" t="s">
        <v>648</v>
      </c>
      <c r="G61">
        <v>900</v>
      </c>
      <c r="J61" s="1">
        <v>77</v>
      </c>
      <c r="K61">
        <f t="shared" si="0"/>
        <v>77</v>
      </c>
      <c r="L61" t="str">
        <f t="shared" si="1"/>
        <v>Without Affectionate</v>
      </c>
    </row>
    <row r="62" spans="1:12" x14ac:dyDescent="0.35">
      <c r="A62" t="s">
        <v>649</v>
      </c>
      <c r="C62" t="s">
        <v>533</v>
      </c>
      <c r="D62" t="s">
        <v>537</v>
      </c>
      <c r="E62">
        <v>5</v>
      </c>
      <c r="F62" t="s">
        <v>650</v>
      </c>
      <c r="G62">
        <v>800</v>
      </c>
      <c r="I62">
        <v>18</v>
      </c>
      <c r="J62" s="1">
        <v>32</v>
      </c>
      <c r="K62">
        <f t="shared" si="0"/>
        <v>32</v>
      </c>
      <c r="L62" t="str">
        <f t="shared" si="1"/>
        <v>Without Affectionate</v>
      </c>
    </row>
    <row r="63" spans="1:12" x14ac:dyDescent="0.35">
      <c r="A63" t="s">
        <v>651</v>
      </c>
      <c r="C63" t="s">
        <v>564</v>
      </c>
      <c r="D63" t="s">
        <v>534</v>
      </c>
      <c r="E63">
        <v>6</v>
      </c>
      <c r="F63" t="s">
        <v>540</v>
      </c>
      <c r="G63">
        <v>100</v>
      </c>
      <c r="J63" s="1">
        <v>125</v>
      </c>
      <c r="K63">
        <f t="shared" si="0"/>
        <v>125</v>
      </c>
      <c r="L63" t="str">
        <f t="shared" si="1"/>
        <v>With Affectionate</v>
      </c>
    </row>
    <row r="64" spans="1:12" x14ac:dyDescent="0.35">
      <c r="A64" t="s">
        <v>652</v>
      </c>
      <c r="C64" t="s">
        <v>564</v>
      </c>
      <c r="D64" t="s">
        <v>534</v>
      </c>
      <c r="E64">
        <v>6</v>
      </c>
      <c r="F64" t="s">
        <v>540</v>
      </c>
      <c r="G64">
        <v>100</v>
      </c>
      <c r="J64" s="1">
        <v>198</v>
      </c>
      <c r="K64">
        <f t="shared" si="0"/>
        <v>198</v>
      </c>
      <c r="L64" t="str">
        <f t="shared" si="1"/>
        <v>Without Affectionate</v>
      </c>
    </row>
    <row r="65" spans="1:12" x14ac:dyDescent="0.35">
      <c r="A65" t="s">
        <v>653</v>
      </c>
      <c r="C65" t="s">
        <v>546</v>
      </c>
      <c r="D65" t="s">
        <v>547</v>
      </c>
      <c r="E65">
        <v>4</v>
      </c>
      <c r="F65" t="s">
        <v>654</v>
      </c>
      <c r="G65">
        <v>700</v>
      </c>
      <c r="I65">
        <v>29</v>
      </c>
      <c r="J65" s="1">
        <v>132</v>
      </c>
      <c r="K65">
        <f t="shared" si="0"/>
        <v>132</v>
      </c>
      <c r="L65" t="str">
        <f t="shared" si="1"/>
        <v>Without Affectionate</v>
      </c>
    </row>
    <row r="66" spans="1:12" x14ac:dyDescent="0.35">
      <c r="A66" t="s">
        <v>655</v>
      </c>
      <c r="C66" t="s">
        <v>546</v>
      </c>
      <c r="D66" t="s">
        <v>547</v>
      </c>
      <c r="E66">
        <v>6</v>
      </c>
      <c r="F66" t="s">
        <v>656</v>
      </c>
      <c r="G66">
        <v>500</v>
      </c>
      <c r="I66">
        <v>37</v>
      </c>
      <c r="J66" s="1">
        <v>154</v>
      </c>
      <c r="K66">
        <f t="shared" si="0"/>
        <v>154</v>
      </c>
      <c r="L66" t="str">
        <f t="shared" si="1"/>
        <v>With Affectionate</v>
      </c>
    </row>
    <row r="67" spans="1:12" x14ac:dyDescent="0.35">
      <c r="A67" t="s">
        <v>657</v>
      </c>
      <c r="C67" t="s">
        <v>564</v>
      </c>
      <c r="D67" t="s">
        <v>534</v>
      </c>
      <c r="E67">
        <v>6</v>
      </c>
      <c r="F67" t="s">
        <v>540</v>
      </c>
      <c r="G67">
        <v>100</v>
      </c>
      <c r="J67" s="1">
        <v>158</v>
      </c>
      <c r="K67">
        <f t="shared" ref="K67:K68" si="2">AVERAGEIF($A:$A, A67, $J:$J)</f>
        <v>158</v>
      </c>
      <c r="L67" t="str">
        <f t="shared" ref="L67:L68" si="3">IF(ISNUMBER(SEARCH("Affectionate",F66)),"With Affectionate","Without Affectionate")</f>
        <v>Without Affectionate</v>
      </c>
    </row>
    <row r="68" spans="1:12" x14ac:dyDescent="0.35">
      <c r="A68" t="s">
        <v>528</v>
      </c>
      <c r="J68" s="1">
        <v>210</v>
      </c>
      <c r="K68">
        <f t="shared" si="2"/>
        <v>210</v>
      </c>
      <c r="L68" t="str">
        <f t="shared" si="3"/>
        <v>Without Affectionate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Dog Breed</vt:lpstr>
      <vt:lpstr>summary </vt:lpstr>
      <vt:lpstr>task 2</vt:lpstr>
      <vt:lpstr>Cat Breed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DellLatitude5490</dc:creator>
  <cp:lastModifiedBy>soliuzainab45@outlook.com</cp:lastModifiedBy>
  <dcterms:created xsi:type="dcterms:W3CDTF">2021-04-30T12:00:36Z</dcterms:created>
  <dcterms:modified xsi:type="dcterms:W3CDTF">2026-01-13T18:54:59Z</dcterms:modified>
</cp:coreProperties>
</file>